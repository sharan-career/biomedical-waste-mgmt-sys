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ABSTRACT" sheetId="20" r:id="rId1"/>
    <sheet name="GOVT.HOSPITALS" sheetId="19" r:id="rId2"/>
    <sheet name="Jewargi" sheetId="6" r:id="rId3"/>
    <sheet name="Sedam" sheetId="8" r:id="rId4"/>
    <sheet name="Chittapur" sheetId="9" r:id="rId5"/>
    <sheet name="Kalaburagi" sheetId="1" r:id="rId6"/>
  </sheets>
  <definedNames>
    <definedName name="_xlnm._FilterDatabase" localSheetId="4" hidden="1">Chittapur!$A$3:$L$84</definedName>
    <definedName name="_xlnm._FilterDatabase" localSheetId="1" hidden="1">GOVT.HOSPITALS!$A$3:$K$196</definedName>
    <definedName name="_xlnm._FilterDatabase" localSheetId="2" hidden="1">Jewargi!$A$3:$L$80</definedName>
    <definedName name="_xlnm._FilterDatabase" localSheetId="5" hidden="1">Kalaburagi!$A$3:$XFC$351</definedName>
    <definedName name="_xlnm._FilterDatabase" localSheetId="3" hidden="1">Sedam!$A$3:$L$74</definedName>
    <definedName name="_Hlk187854711" localSheetId="5">Kalaburagi!$B$121</definedName>
    <definedName name="_xlnm.Print_Area" localSheetId="0">ABSTRACT!$A$1:$N$33</definedName>
    <definedName name="_xlnm.Print_Titles" localSheetId="4">Chittapur!$2:$3</definedName>
    <definedName name="_xlnm.Print_Titles" localSheetId="1">GOVT.HOSPITALS!$2:$3</definedName>
    <definedName name="_xlnm.Print_Titles" localSheetId="2">Jewargi!$2:$3</definedName>
    <definedName name="_xlnm.Print_Titles" localSheetId="5">Kalaburagi!$2:$3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8" i="19"/>
  <c r="J197"/>
  <c r="K100" i="1"/>
  <c r="F354"/>
  <c r="K352"/>
  <c r="K12" i="8"/>
  <c r="K108" i="1"/>
  <c r="K151"/>
  <c r="K60" i="8"/>
  <c r="K17" i="9"/>
  <c r="K186" i="1"/>
  <c r="K49"/>
  <c r="K321"/>
  <c r="K308"/>
  <c r="K316"/>
  <c r="K156"/>
  <c r="K319" l="1"/>
  <c r="K324"/>
  <c r="K332"/>
  <c r="K42"/>
  <c r="K86"/>
  <c r="K38"/>
  <c r="K346"/>
  <c r="K317"/>
  <c r="K318"/>
  <c r="K115"/>
  <c r="K171"/>
  <c r="K45"/>
  <c r="K13" i="6"/>
  <c r="K96" i="1"/>
  <c r="K11" i="9"/>
  <c r="K32" i="6"/>
  <c r="K326" i="1"/>
  <c r="K198"/>
  <c r="K71" i="9"/>
  <c r="K314" i="1"/>
  <c r="K235"/>
  <c r="K246"/>
  <c r="G84" l="1"/>
  <c r="J56" i="19"/>
  <c r="C23" i="20"/>
  <c r="J28" i="19"/>
  <c r="K56" i="1" l="1"/>
  <c r="F27" i="20"/>
  <c r="D354" i="1"/>
  <c r="D86" i="9"/>
  <c r="D76" i="8"/>
  <c r="D82" i="6"/>
  <c r="G23" i="20"/>
  <c r="G26"/>
  <c r="C25"/>
  <c r="C24"/>
  <c r="M26"/>
  <c r="M25"/>
  <c r="M24"/>
  <c r="M23"/>
  <c r="L26"/>
  <c r="L25"/>
  <c r="L24"/>
  <c r="L23"/>
  <c r="K26"/>
  <c r="K25"/>
  <c r="K24"/>
  <c r="K23"/>
  <c r="J26"/>
  <c r="J25"/>
  <c r="J24"/>
  <c r="J23"/>
  <c r="I26"/>
  <c r="I25"/>
  <c r="I24"/>
  <c r="I23"/>
  <c r="E26"/>
  <c r="E25"/>
  <c r="E24"/>
  <c r="E23"/>
  <c r="H27"/>
  <c r="D27"/>
  <c r="C27" l="1"/>
  <c r="G27"/>
  <c r="C32"/>
  <c r="M27"/>
  <c r="L27"/>
  <c r="K27"/>
  <c r="N26"/>
  <c r="J27"/>
  <c r="I27"/>
  <c r="E27"/>
  <c r="N24"/>
  <c r="N25"/>
  <c r="N23"/>
  <c r="N27" l="1"/>
  <c r="G5" l="1"/>
  <c r="C209" i="19"/>
  <c r="D93" i="6"/>
  <c r="D87" i="8"/>
  <c r="D14" i="20" s="1"/>
  <c r="G14" s="1"/>
  <c r="D97" i="9"/>
  <c r="D15" i="20" s="1"/>
  <c r="G15" s="1"/>
  <c r="D365" i="1"/>
  <c r="D16" i="20" s="1"/>
  <c r="G16" s="1"/>
  <c r="K351" i="1"/>
  <c r="K347"/>
  <c r="K345"/>
  <c r="K343"/>
  <c r="K337"/>
  <c r="K334"/>
  <c r="K312"/>
  <c r="K304"/>
  <c r="K303"/>
  <c r="K300"/>
  <c r="K297"/>
  <c r="K294"/>
  <c r="K292"/>
  <c r="K289"/>
  <c r="K286"/>
  <c r="K281"/>
  <c r="K344"/>
  <c r="K340"/>
  <c r="K335"/>
  <c r="K323"/>
  <c r="K320"/>
  <c r="K322"/>
  <c r="K350"/>
  <c r="K349"/>
  <c r="K348"/>
  <c r="K336"/>
  <c r="K327"/>
  <c r="K313"/>
  <c r="K306"/>
  <c r="K301"/>
  <c r="K296"/>
  <c r="K295"/>
  <c r="K288"/>
  <c r="K287"/>
  <c r="K283"/>
  <c r="K282"/>
  <c r="K311"/>
  <c r="K302"/>
  <c r="K299"/>
  <c r="K291"/>
  <c r="K285"/>
  <c r="K284"/>
  <c r="K280"/>
  <c r="F86" i="9"/>
  <c r="C7" i="20" s="1"/>
  <c r="K341" i="1"/>
  <c r="K339"/>
  <c r="K330"/>
  <c r="K329"/>
  <c r="K328"/>
  <c r="K315"/>
  <c r="K309"/>
  <c r="K307"/>
  <c r="K298"/>
  <c r="K338"/>
  <c r="K333"/>
  <c r="K331"/>
  <c r="K310"/>
  <c r="K293"/>
  <c r="K342"/>
  <c r="K325"/>
  <c r="K305"/>
  <c r="K290"/>
  <c r="J196" i="19"/>
  <c r="I198"/>
  <c r="G4" i="20" s="1"/>
  <c r="G198" i="19"/>
  <c r="E4" i="20" s="1"/>
  <c r="F198" i="19"/>
  <c r="D4" i="20" s="1"/>
  <c r="G354" i="1"/>
  <c r="D8" i="20" s="1"/>
  <c r="H354" i="1"/>
  <c r="E8" i="20" s="1"/>
  <c r="I354" i="1"/>
  <c r="F8" i="20" s="1"/>
  <c r="J354" i="1"/>
  <c r="G8" i="20" s="1"/>
  <c r="C8"/>
  <c r="K84" i="9"/>
  <c r="K82"/>
  <c r="K81"/>
  <c r="K80"/>
  <c r="K79"/>
  <c r="K78"/>
  <c r="K77"/>
  <c r="K76"/>
  <c r="K75"/>
  <c r="K74"/>
  <c r="K73"/>
  <c r="K72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G86"/>
  <c r="D7" i="20" s="1"/>
  <c r="H86" i="9"/>
  <c r="E7" i="20" s="1"/>
  <c r="I86" i="9"/>
  <c r="F7" i="20" s="1"/>
  <c r="J86" i="9"/>
  <c r="G7" i="20" s="1"/>
  <c r="K83" i="9"/>
  <c r="G76" i="8"/>
  <c r="D6" i="20" s="1"/>
  <c r="H76" i="8"/>
  <c r="E6" i="20" s="1"/>
  <c r="I76" i="8"/>
  <c r="F6" i="20" s="1"/>
  <c r="J76" i="8"/>
  <c r="G6" i="20" s="1"/>
  <c r="F76" i="8"/>
  <c r="C6" i="20" s="1"/>
  <c r="K55" i="8"/>
  <c r="K66"/>
  <c r="K74"/>
  <c r="K72"/>
  <c r="K71"/>
  <c r="K70"/>
  <c r="K69"/>
  <c r="K68"/>
  <c r="K67"/>
  <c r="K65"/>
  <c r="K64"/>
  <c r="K63"/>
  <c r="K62"/>
  <c r="K61"/>
  <c r="K59"/>
  <c r="K58"/>
  <c r="K57"/>
  <c r="K54"/>
  <c r="K53"/>
  <c r="K52"/>
  <c r="K51"/>
  <c r="K50"/>
  <c r="K49"/>
  <c r="K56"/>
  <c r="K73"/>
  <c r="K5" i="6"/>
  <c r="K6"/>
  <c r="K7"/>
  <c r="K8"/>
  <c r="K9"/>
  <c r="K10"/>
  <c r="K11"/>
  <c r="K12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4"/>
  <c r="G82"/>
  <c r="D5" i="20" s="1"/>
  <c r="H82" i="6"/>
  <c r="E5" i="20" s="1"/>
  <c r="I82" i="6"/>
  <c r="F5" i="20" s="1"/>
  <c r="J82" i="6"/>
  <c r="F82"/>
  <c r="K82" l="1"/>
  <c r="H5" i="20" s="1"/>
  <c r="C5" l="1"/>
  <c r="H198" i="19"/>
  <c r="F4" i="20" s="1"/>
  <c r="K41" i="8"/>
  <c r="K43" i="9"/>
  <c r="K179" i="1"/>
  <c r="K234"/>
  <c r="K204"/>
  <c r="K19"/>
  <c r="K135"/>
  <c r="K120"/>
  <c r="K42" i="9" l="1"/>
  <c r="K46" i="1" l="1"/>
  <c r="K104"/>
  <c r="K150"/>
  <c r="K67"/>
  <c r="K123"/>
  <c r="K242"/>
  <c r="K190"/>
  <c r="C31" i="20" l="1"/>
  <c r="J5" i="19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9"/>
  <c r="J30"/>
  <c r="J31"/>
  <c r="J32"/>
  <c r="J33"/>
  <c r="J34"/>
  <c r="J35"/>
  <c r="J36"/>
  <c r="J37"/>
  <c r="J38"/>
  <c r="J39"/>
  <c r="J40"/>
  <c r="J41"/>
  <c r="J43"/>
  <c r="J44"/>
  <c r="J45"/>
  <c r="J46"/>
  <c r="J47"/>
  <c r="J48"/>
  <c r="J49"/>
  <c r="J50"/>
  <c r="J51"/>
  <c r="J52"/>
  <c r="J53"/>
  <c r="J54"/>
  <c r="J55"/>
  <c r="J57"/>
  <c r="J58"/>
  <c r="J59"/>
  <c r="J60"/>
  <c r="J61"/>
  <c r="J62"/>
  <c r="J63"/>
  <c r="J64"/>
  <c r="J65"/>
  <c r="J66"/>
  <c r="J67"/>
  <c r="J68"/>
  <c r="J42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4"/>
  <c r="C4" i="20"/>
  <c r="J198" i="19" l="1"/>
  <c r="H4" i="20" s="1"/>
  <c r="K83" i="1"/>
  <c r="K157"/>
  <c r="K109"/>
  <c r="K51" i="9"/>
  <c r="K50"/>
  <c r="K49"/>
  <c r="K48"/>
  <c r="K47"/>
  <c r="K46"/>
  <c r="K45"/>
  <c r="K44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6"/>
  <c r="K15"/>
  <c r="K14"/>
  <c r="K13"/>
  <c r="K12"/>
  <c r="K10"/>
  <c r="K9"/>
  <c r="K8"/>
  <c r="K7"/>
  <c r="K6"/>
  <c r="K5"/>
  <c r="K4"/>
  <c r="K4" i="8"/>
  <c r="K35"/>
  <c r="K46"/>
  <c r="K45"/>
  <c r="K42"/>
  <c r="K34"/>
  <c r="K15"/>
  <c r="K40"/>
  <c r="K39"/>
  <c r="K38"/>
  <c r="K37"/>
  <c r="K13"/>
  <c r="K31"/>
  <c r="K48"/>
  <c r="K10"/>
  <c r="K32"/>
  <c r="K11"/>
  <c r="K23"/>
  <c r="K5"/>
  <c r="K7"/>
  <c r="K6"/>
  <c r="K20"/>
  <c r="K22"/>
  <c r="K28"/>
  <c r="K19"/>
  <c r="K16"/>
  <c r="K30"/>
  <c r="K43"/>
  <c r="K47"/>
  <c r="K21"/>
  <c r="K9"/>
  <c r="K44"/>
  <c r="K26"/>
  <c r="K14"/>
  <c r="K25"/>
  <c r="K24"/>
  <c r="K18"/>
  <c r="K8"/>
  <c r="K17"/>
  <c r="K29"/>
  <c r="K27"/>
  <c r="K36"/>
  <c r="K33"/>
  <c r="K214" i="1"/>
  <c r="K193"/>
  <c r="K155"/>
  <c r="K105"/>
  <c r="K54"/>
  <c r="K146"/>
  <c r="K154"/>
  <c r="K272"/>
  <c r="K17"/>
  <c r="K216"/>
  <c r="K237"/>
  <c r="K119"/>
  <c r="K172"/>
  <c r="K244"/>
  <c r="K114"/>
  <c r="K41"/>
  <c r="K134"/>
  <c r="K182"/>
  <c r="K202"/>
  <c r="K26"/>
  <c r="K260"/>
  <c r="K273"/>
  <c r="K148"/>
  <c r="K147"/>
  <c r="K158"/>
  <c r="K69"/>
  <c r="K14"/>
  <c r="K55"/>
  <c r="K149"/>
  <c r="K194"/>
  <c r="K169"/>
  <c r="K223"/>
  <c r="K58"/>
  <c r="K170"/>
  <c r="K277"/>
  <c r="K15"/>
  <c r="K63"/>
  <c r="K248"/>
  <c r="K226"/>
  <c r="K196"/>
  <c r="K231"/>
  <c r="K259"/>
  <c r="K230"/>
  <c r="K74"/>
  <c r="K71"/>
  <c r="K4"/>
  <c r="K31"/>
  <c r="K252"/>
  <c r="K233"/>
  <c r="K271"/>
  <c r="K207"/>
  <c r="K180"/>
  <c r="K57"/>
  <c r="K257"/>
  <c r="K61"/>
  <c r="K68"/>
  <c r="K62"/>
  <c r="K232"/>
  <c r="K269"/>
  <c r="K9"/>
  <c r="K23"/>
  <c r="K137"/>
  <c r="K262"/>
  <c r="K229"/>
  <c r="K218"/>
  <c r="K95"/>
  <c r="K5"/>
  <c r="K201"/>
  <c r="K217"/>
  <c r="K274"/>
  <c r="K279"/>
  <c r="K129"/>
  <c r="K27"/>
  <c r="K122"/>
  <c r="K97"/>
  <c r="K203"/>
  <c r="K139"/>
  <c r="K37"/>
  <c r="K25"/>
  <c r="K43"/>
  <c r="K258"/>
  <c r="K256"/>
  <c r="K101"/>
  <c r="K275"/>
  <c r="K238"/>
  <c r="K47"/>
  <c r="K33"/>
  <c r="K44"/>
  <c r="K89"/>
  <c r="K240"/>
  <c r="K88"/>
  <c r="K183"/>
  <c r="K126"/>
  <c r="K64"/>
  <c r="K197"/>
  <c r="K222"/>
  <c r="K224"/>
  <c r="K173"/>
  <c r="K99"/>
  <c r="K131"/>
  <c r="K132"/>
  <c r="K94"/>
  <c r="K188"/>
  <c r="K106"/>
  <c r="K72"/>
  <c r="K192"/>
  <c r="K130"/>
  <c r="K228"/>
  <c r="K21"/>
  <c r="K160"/>
  <c r="K79"/>
  <c r="K208"/>
  <c r="K93"/>
  <c r="K181"/>
  <c r="K270"/>
  <c r="K236"/>
  <c r="K91"/>
  <c r="K144"/>
  <c r="K128"/>
  <c r="K127"/>
  <c r="K16"/>
  <c r="K78"/>
  <c r="K138"/>
  <c r="K73"/>
  <c r="K125"/>
  <c r="K34"/>
  <c r="K266"/>
  <c r="K142"/>
  <c r="K200"/>
  <c r="K241"/>
  <c r="K116"/>
  <c r="K162"/>
  <c r="K178"/>
  <c r="K166"/>
  <c r="K247"/>
  <c r="K239"/>
  <c r="K205"/>
  <c r="K143"/>
  <c r="K103"/>
  <c r="K159"/>
  <c r="K82"/>
  <c r="K219"/>
  <c r="K121"/>
  <c r="K165"/>
  <c r="K206"/>
  <c r="K225"/>
  <c r="K118"/>
  <c r="K32"/>
  <c r="K245"/>
  <c r="K264"/>
  <c r="K255"/>
  <c r="K145"/>
  <c r="K176"/>
  <c r="K213"/>
  <c r="K124"/>
  <c r="K107"/>
  <c r="K175"/>
  <c r="K220"/>
  <c r="K221"/>
  <c r="K76"/>
  <c r="K243"/>
  <c r="K211"/>
  <c r="K210"/>
  <c r="K227"/>
  <c r="K85"/>
  <c r="K187"/>
  <c r="K168"/>
  <c r="K30"/>
  <c r="K81"/>
  <c r="K65"/>
  <c r="K75"/>
  <c r="K249"/>
  <c r="K212"/>
  <c r="K48"/>
  <c r="K191"/>
  <c r="K140"/>
  <c r="K113"/>
  <c r="K77"/>
  <c r="K185"/>
  <c r="K80"/>
  <c r="K268"/>
  <c r="K133"/>
  <c r="K13"/>
  <c r="K22"/>
  <c r="K70"/>
  <c r="K251"/>
  <c r="K136"/>
  <c r="K153"/>
  <c r="K12"/>
  <c r="K215"/>
  <c r="K209"/>
  <c r="K66"/>
  <c r="K28"/>
  <c r="K161"/>
  <c r="K164"/>
  <c r="K8"/>
  <c r="K112"/>
  <c r="K10"/>
  <c r="K50"/>
  <c r="K53"/>
  <c r="K141"/>
  <c r="K195"/>
  <c r="K163"/>
  <c r="K20"/>
  <c r="K35"/>
  <c r="K189"/>
  <c r="K11"/>
  <c r="K51"/>
  <c r="K167"/>
  <c r="K18"/>
  <c r="K24"/>
  <c r="K250"/>
  <c r="K87"/>
  <c r="K90"/>
  <c r="K110"/>
  <c r="K152"/>
  <c r="K184"/>
  <c r="K92"/>
  <c r="K39"/>
  <c r="K174"/>
  <c r="K254"/>
  <c r="K59"/>
  <c r="K177"/>
  <c r="K29"/>
  <c r="K278"/>
  <c r="K40"/>
  <c r="K111"/>
  <c r="K117"/>
  <c r="K6"/>
  <c r="K7"/>
  <c r="K263"/>
  <c r="K102"/>
  <c r="K267"/>
  <c r="K52"/>
  <c r="K60"/>
  <c r="K265"/>
  <c r="K98"/>
  <c r="K253"/>
  <c r="K199"/>
  <c r="K276"/>
  <c r="K261"/>
  <c r="K84"/>
  <c r="K36"/>
  <c r="K86" i="9" l="1"/>
  <c r="H7" i="20" s="1"/>
  <c r="K76" i="8"/>
  <c r="H6" i="20" s="1"/>
  <c r="K354" i="1"/>
  <c r="H8" i="20" s="1"/>
  <c r="F9"/>
  <c r="E9"/>
  <c r="G9"/>
  <c r="D9"/>
  <c r="H9" l="1"/>
  <c r="F17"/>
  <c r="E17"/>
  <c r="C17"/>
  <c r="C33" l="1"/>
  <c r="D29" s="1"/>
  <c r="C9"/>
  <c r="D13" l="1"/>
  <c r="G13" s="1"/>
  <c r="D17" l="1"/>
  <c r="G17" s="1"/>
  <c r="F11" s="1"/>
</calcChain>
</file>

<file path=xl/sharedStrings.xml><?xml version="1.0" encoding="utf-8"?>
<sst xmlns="http://schemas.openxmlformats.org/spreadsheetml/2006/main" count="2290" uniqueCount="829">
  <si>
    <t>TOTAL</t>
  </si>
  <si>
    <t>SANJEEVINI HOSPITAL</t>
  </si>
  <si>
    <t>PLACE</t>
  </si>
  <si>
    <t>BED'S</t>
  </si>
  <si>
    <t>SHIFA CLINIC</t>
  </si>
  <si>
    <t>SHIVA CLINIC</t>
  </si>
  <si>
    <t>SANJEEVINI CLINIC</t>
  </si>
  <si>
    <t>ASHWINI CLINIC</t>
  </si>
  <si>
    <t>MUDHOL</t>
  </si>
  <si>
    <t>YASHODHA HOSPITAL</t>
  </si>
  <si>
    <t>VINAY CLINIC</t>
  </si>
  <si>
    <t>VIJAY CLINIC</t>
  </si>
  <si>
    <t>Sr.No</t>
  </si>
  <si>
    <t>Name Of Hospitals</t>
  </si>
  <si>
    <t xml:space="preserve"> Quantity of Bio-medical Waste Received  All in Kg/month</t>
  </si>
  <si>
    <t>Total Qty in kg/month</t>
  </si>
  <si>
    <t>YELLOW</t>
  </si>
  <si>
    <t>BLUE</t>
  </si>
  <si>
    <t>RED</t>
  </si>
  <si>
    <t>WHITE</t>
  </si>
  <si>
    <t>BASAVA HOSPITAL</t>
  </si>
  <si>
    <t xml:space="preserve"> Quantity of Bio-medical Waste Received in Kg/month</t>
  </si>
  <si>
    <t>S. No</t>
  </si>
  <si>
    <t>Place</t>
  </si>
  <si>
    <t>Yellow Category</t>
  </si>
  <si>
    <t>Blue Category</t>
  </si>
  <si>
    <t>Red Category</t>
  </si>
  <si>
    <t>White Category</t>
  </si>
  <si>
    <t>Govt Hospital</t>
  </si>
  <si>
    <t>Blood Bank</t>
  </si>
  <si>
    <t>No of HCF'S</t>
  </si>
  <si>
    <t>Bedded Hospital</t>
  </si>
  <si>
    <t>Clinic</t>
  </si>
  <si>
    <t>Laboratory</t>
  </si>
  <si>
    <t>Number Of Bed's</t>
  </si>
  <si>
    <t>Private Hospital</t>
  </si>
  <si>
    <t xml:space="preserve"> Veterinary</t>
  </si>
  <si>
    <t>SIDDESHWAR CLINIC</t>
  </si>
  <si>
    <t>Government Hospital</t>
  </si>
  <si>
    <t>All Govt Hospitals</t>
  </si>
  <si>
    <t>BEDDED HOSPITAL</t>
  </si>
  <si>
    <t>NON BEDED HOSPITAL/CLINIC</t>
  </si>
  <si>
    <t>DENTAL</t>
  </si>
  <si>
    <t>LABORATORY</t>
  </si>
  <si>
    <t>AMMA CLINIC</t>
  </si>
  <si>
    <t>PRIMARY HEALTH CENTRE</t>
  </si>
  <si>
    <t>Chittapur</t>
  </si>
  <si>
    <t>Gundugurti</t>
  </si>
  <si>
    <t>Hebbal</t>
  </si>
  <si>
    <t>Kalagi</t>
  </si>
  <si>
    <t>Shahbad</t>
  </si>
  <si>
    <t>Wadi</t>
  </si>
  <si>
    <t>Alhalli</t>
  </si>
  <si>
    <t>Allur K</t>
  </si>
  <si>
    <t>Arankal</t>
  </si>
  <si>
    <t>Dandoti</t>
  </si>
  <si>
    <t>Diggaon</t>
  </si>
  <si>
    <t>Kal Hipparga</t>
  </si>
  <si>
    <t>Kollur</t>
  </si>
  <si>
    <t>Korwar</t>
  </si>
  <si>
    <t>Madbool</t>
  </si>
  <si>
    <t>Mangalgi</t>
  </si>
  <si>
    <t>Nalwar</t>
  </si>
  <si>
    <t>Pethsiroor</t>
  </si>
  <si>
    <t>Ravoor</t>
  </si>
  <si>
    <t>Tengli</t>
  </si>
  <si>
    <t>Jewargi</t>
  </si>
  <si>
    <t>Nelogi</t>
  </si>
  <si>
    <t>Yadrami</t>
  </si>
  <si>
    <t>Andola</t>
  </si>
  <si>
    <t>Ankalaga</t>
  </si>
  <si>
    <t>Aralgundagi</t>
  </si>
  <si>
    <t>Biryal. B</t>
  </si>
  <si>
    <t>Ganwar</t>
  </si>
  <si>
    <t>Ijeri</t>
  </si>
  <si>
    <t>Jeratgi</t>
  </si>
  <si>
    <t>Koodi</t>
  </si>
  <si>
    <t>Malli</t>
  </si>
  <si>
    <t>Mandewal</t>
  </si>
  <si>
    <t>Naribol</t>
  </si>
  <si>
    <t>Wadgera</t>
  </si>
  <si>
    <t>Sedam</t>
  </si>
  <si>
    <t>Malkhed</t>
  </si>
  <si>
    <t>Mudhol</t>
  </si>
  <si>
    <t>Farthabad</t>
  </si>
  <si>
    <t>Hire Savalgi</t>
  </si>
  <si>
    <t>Honna Kiranagi</t>
  </si>
  <si>
    <t>Nandoor B</t>
  </si>
  <si>
    <t>Srinivas Sardagi</t>
  </si>
  <si>
    <t>Asokanagar</t>
  </si>
  <si>
    <t>Manikeshwari</t>
  </si>
  <si>
    <t>Heerapur</t>
  </si>
  <si>
    <t>Vidyanagar/ICDS</t>
  </si>
  <si>
    <t>Tarfile/UFWC</t>
  </si>
  <si>
    <t>Genaral Hospital</t>
  </si>
  <si>
    <t>Community Health Centre</t>
  </si>
  <si>
    <t>Primary Health Centre</t>
  </si>
  <si>
    <t>Urban Primary Health Centre</t>
  </si>
  <si>
    <t xml:space="preserve"> M/s. Parisara Associates, Yadgir (CBMWTF)</t>
  </si>
  <si>
    <t>BASAVESHWAR TEACHING AND GENERAL HOSPITAL</t>
  </si>
  <si>
    <t>UNITED BROTHERS HEALTH CARE SERVICES PVT LTD</t>
  </si>
  <si>
    <t>VTSM PERIPHERAL CANCER CENTRE</t>
  </si>
  <si>
    <t>SANGAMESHWAR TEACHING HOSPITAL</t>
  </si>
  <si>
    <t>SUNRISE HOSPITAL</t>
  </si>
  <si>
    <t>HCG CANCER CENTER</t>
  </si>
  <si>
    <t>V L PATIL SUPER SPECIALITY HOSPITAL</t>
  </si>
  <si>
    <t>DARSH SUPERSPECIALITY HOSPITAL</t>
  </si>
  <si>
    <t>CHIRAYU  HOSPITAL</t>
  </si>
  <si>
    <t>VAATSALYA LIFE HOSPITAL</t>
  </si>
  <si>
    <t>HKES S N DENTAL COLLEGE AND SCIENCES</t>
  </si>
  <si>
    <t>USTAD KIDNEY CARE AND MULTISPECIALITY HOSPITAL</t>
  </si>
  <si>
    <t>ADITYA MULTI SPECIALITY HOSPITAL</t>
  </si>
  <si>
    <t>ADITI HOSPITAL</t>
  </si>
  <si>
    <t>KAMAREDDY ORTHO AND TRAUMA CARE HOSPITAL</t>
  </si>
  <si>
    <t>JEEVAN JYOTI HOSPITAL</t>
  </si>
  <si>
    <t>BILVA HOSPITAL</t>
  </si>
  <si>
    <t>BANALE HOSPITAL</t>
  </si>
  <si>
    <t>RAJALAXMI KIDNEY HOSPITAL</t>
  </si>
  <si>
    <t>DARSH HOSPITAL</t>
  </si>
  <si>
    <t>QP MULTISPECIALITY HOSPITAL</t>
  </si>
  <si>
    <t xml:space="preserve">BHORUKA NETRALAYA </t>
  </si>
  <si>
    <t>GULBARGA HEART FOUNDATION</t>
  </si>
  <si>
    <t>RUDRAWADI HOSPITAL</t>
  </si>
  <si>
    <t>MOHANRAJ HOSPITAL</t>
  </si>
  <si>
    <t xml:space="preserve">JEEVAA SUPER SPECIALITY HOSPITAL </t>
  </si>
  <si>
    <t>GIRISH KIDNEY FOUNDATION AND MULTISPECIALITY HOSPITAL</t>
  </si>
  <si>
    <t>GAYATRI MULTISPECIALITY HOSPITAL</t>
  </si>
  <si>
    <t>SUJANI HOSPITAL</t>
  </si>
  <si>
    <t>AROGYA LIFE CARE MULTISPECIALITY HOSPITAL</t>
  </si>
  <si>
    <t>PATIL HOSPITAL CENTRE FOR ORTHOPEDICS AND TRUMA CENTRE</t>
  </si>
  <si>
    <t>CHIRANJEEVI HOSPITAL</t>
  </si>
  <si>
    <t>AMRUTA SPARSH HOSPITAL</t>
  </si>
  <si>
    <t>SADBHAVA HOSPITAL</t>
  </si>
  <si>
    <t>BASAVACHETANA MATERNITY AND FERTILITY HOME</t>
  </si>
  <si>
    <t>ASHIRWAD METERNITY AND CHILDREN HOSPITAL</t>
  </si>
  <si>
    <t>NK SURGICAL GASTRO SUPER SPECIALITY HOSPITAL</t>
  </si>
  <si>
    <t>SALGAR HOSPITAL</t>
  </si>
  <si>
    <t>MANDAKNALLI NEUROPSYCHIATRY HOSPITAL AND ALCOHOL DE-ADDICTION CENTRE</t>
  </si>
  <si>
    <t>CRADLE MATERNITY AND CHILDREN HOSPITAL</t>
  </si>
  <si>
    <t>CHINEMAYAGIRI MATERNITY AND CHILDRENS HOSPITAL</t>
  </si>
  <si>
    <t>AL-BADAR DENTAL COLLEGE</t>
  </si>
  <si>
    <t>KADALI SIRI HOSPITAL</t>
  </si>
  <si>
    <t>AISHA  MATERNITY AND GENERAL HOSPITAL</t>
  </si>
  <si>
    <t>P G SHAH ORTHOPEDIC HOSPITAL</t>
  </si>
  <si>
    <t>NEW LIFE MATERNITY AND CHILDREN HOSPITAL</t>
  </si>
  <si>
    <t>BALAJI HOSPITAL</t>
  </si>
  <si>
    <t>DEVATA HOSPITAL</t>
  </si>
  <si>
    <t>SHANTA HOSPITAL</t>
  </si>
  <si>
    <t>SHOBHA MATERNITY HOME</t>
  </si>
  <si>
    <t>AMRUTHRATNA NEURO HOSPITAL</t>
  </si>
  <si>
    <t>MORES CHILDRENS HOSPITAL</t>
  </si>
  <si>
    <t>LOTUS HOSPITAL</t>
  </si>
  <si>
    <t>SUMAN NURSING HOME</t>
  </si>
  <si>
    <t>DR ARIF CHEST HOSPITAL</t>
  </si>
  <si>
    <t>ATHARVA CHEST HOSPITAL</t>
  </si>
  <si>
    <t>ANGEL CHILDRENS HOSPITAL</t>
  </si>
  <si>
    <t>KURAL HOSPITAL</t>
  </si>
  <si>
    <t>VANSH TEST TUBE BABY AND LAPAROSCOPIC CENTRE</t>
  </si>
  <si>
    <t>DR. PATIL KIDNEY AND EYE CARE CENTRE</t>
  </si>
  <si>
    <t>S B MEDICAL CENTRE</t>
  </si>
  <si>
    <t>DR SAROJINI MODI HOSPITAL</t>
  </si>
  <si>
    <t>KALASKAR HOSPIATAL</t>
  </si>
  <si>
    <t>MALLIKARJUN MULTISPECIALITY HOSPITAL</t>
  </si>
  <si>
    <t>SAGAR MATERNITY HOME</t>
  </si>
  <si>
    <t xml:space="preserve">CHINCHOLI EYE HOSPITAL </t>
  </si>
  <si>
    <t>SHARAN NETHRALAYA</t>
  </si>
  <si>
    <t>SUBEDAR CARE HOSPITAL</t>
  </si>
  <si>
    <t>DR RAOS PILES CARE AND CURE HOSPITAL</t>
  </si>
  <si>
    <t>DEVANI HOSPITAL</t>
  </si>
  <si>
    <t>DRISHTI HOSPITAL</t>
  </si>
  <si>
    <t>BANASHANKARI MATERNITY HOME</t>
  </si>
  <si>
    <t xml:space="preserve">PATIL NURSING HOME </t>
  </si>
  <si>
    <t>S. P. SUPERSPECIALITY CENTRE</t>
  </si>
  <si>
    <t>GACHINMANI HOSPITAL</t>
  </si>
  <si>
    <t>SIDDAGANGA HOSPITAL</t>
  </si>
  <si>
    <t>SHANTI MEDICAL CENTRE</t>
  </si>
  <si>
    <t>SHARAN HOSPITAL</t>
  </si>
  <si>
    <t>SRI SAI MULTISPECIALIST HOSPITAL</t>
  </si>
  <si>
    <t>DR ROOPA PASTAPUR HOSPITAL</t>
  </si>
  <si>
    <t>SHREE RENUKA MULTISPECIALITY HOSPITAL</t>
  </si>
  <si>
    <t>SHREE METERNITY AND NURSING HOME</t>
  </si>
  <si>
    <t>R PATEL HOSPITAL</t>
  </si>
  <si>
    <t>ITGAMPALLI HOSPITAL</t>
  </si>
  <si>
    <t>KINAGI METERNITY HOME</t>
  </si>
  <si>
    <t>SHARAN PAEDIATRIC HOSPITAL</t>
  </si>
  <si>
    <t>RAINBOW HOSPITAL</t>
  </si>
  <si>
    <t>MEDI HUB HOSPITAL</t>
  </si>
  <si>
    <t>SWASTI HOSPITAL</t>
  </si>
  <si>
    <t>DR. MURTHY CLASSICAL HOMEOPATHY HOSPITAL</t>
  </si>
  <si>
    <t>V CARE CHILDRENS HOSPITAL</t>
  </si>
  <si>
    <t>SRINIVAS EYE HOSPITAL</t>
  </si>
  <si>
    <t>BAOGI HOSPITAL</t>
  </si>
  <si>
    <t>KANAKI MATERNITY AND GENERAL HOSPITAL</t>
  </si>
  <si>
    <t>SHRI REVAPPA HARWAL MEMORIAL HOSPITAL</t>
  </si>
  <si>
    <t>SEVEN HILLS HOSPITAL</t>
  </si>
  <si>
    <t>P S MARGOL HOSPITAL</t>
  </si>
  <si>
    <t>KAYAK HOSPITAL</t>
  </si>
  <si>
    <t>SHREE HOSPITAL</t>
  </si>
  <si>
    <t>ELITE HOSPITAL</t>
  </si>
  <si>
    <t>NEMMADI MULTISPECIALITY HOSPITAL</t>
  </si>
  <si>
    <t>HOGADE MATERNITY AND GENERAL NURSING HOME</t>
  </si>
  <si>
    <t>MATHOSHREE MATERNITY HOSPITAL</t>
  </si>
  <si>
    <t>SEJAL  HOSPITAL</t>
  </si>
  <si>
    <t>SRI CHANNAPPA MEMORIAL ENT CARE CENTRE</t>
  </si>
  <si>
    <t>SRUSHTI MATERNITY AND FERTILITY HOSPITAL</t>
  </si>
  <si>
    <t>PASTAPUR HI-TECH ENT HOSPITAL</t>
  </si>
  <si>
    <t>RATHI ENT MATERNITY AND NURSING HOME</t>
  </si>
  <si>
    <t>NISTY NURSING HOME</t>
  </si>
  <si>
    <t>KAMAL EYE HOSPITAL</t>
  </si>
  <si>
    <t>SRI ORTHO CARE CENTRE</t>
  </si>
  <si>
    <t>SANJANA SURGICAL HOSPITAL</t>
  </si>
  <si>
    <t>MANTRI HOSPITAL</t>
  </si>
  <si>
    <t>V N HOSPITAL</t>
  </si>
  <si>
    <t>BASAVA NURSING HOME</t>
  </si>
  <si>
    <t>KONIN METERNITY AND NURSING HOME</t>
  </si>
  <si>
    <t>DR PATILS ENT HOSPIATAL</t>
  </si>
  <si>
    <t>MALAKAREDDY HOSPITAL</t>
  </si>
  <si>
    <t>DR. M S SANGOLIKAR HOSPITAL</t>
  </si>
  <si>
    <t>APEX SURGICAL AND GENERAL CARE HOSPITAL</t>
  </si>
  <si>
    <t>KOSGI HOSPITAL</t>
  </si>
  <si>
    <t>KOSGI HOSPITAL KALABURAGI</t>
  </si>
  <si>
    <t>MATOSHREE ORTHO CENTRE</t>
  </si>
  <si>
    <t>GOURA MATERNITY HOSPITAL</t>
  </si>
  <si>
    <t>SOUMYA MATERNITY HOSPITAL</t>
  </si>
  <si>
    <t>VENKAT MEMORIAL EYE HOSPITAL</t>
  </si>
  <si>
    <t>RESHMI EYE CARE AND MATERNITY CENTRE</t>
  </si>
  <si>
    <t>GULBARGA HOSPITAL</t>
  </si>
  <si>
    <t>SHALINI EYE CARE</t>
  </si>
  <si>
    <t>BH</t>
  </si>
  <si>
    <t>KALABURAGI</t>
  </si>
  <si>
    <t>ESIC MEDICAL COLLEGE AND HOSPITAL</t>
  </si>
  <si>
    <t>NETRAJYOTHI EYE CARE HOSPITAL</t>
  </si>
  <si>
    <t>DR MURGESH PASTAPUR CLINIC</t>
  </si>
  <si>
    <t>SAGAR ORTHOCARE</t>
  </si>
  <si>
    <t>KOTLI GASTROENTEROLOGY LIVER AND ENDOSCOPY CENTRE</t>
  </si>
  <si>
    <t xml:space="preserve">INBREW BEVERAGES PRIVATE LIMITED </t>
  </si>
  <si>
    <t>KRISHNAPPA CLINIC</t>
  </si>
  <si>
    <t>KRUPA CLINIC</t>
  </si>
  <si>
    <t>GURU SHIVA MEDICAL CENTRE</t>
  </si>
  <si>
    <t>SAAOL HEART CENTRE</t>
  </si>
  <si>
    <t>THE MEDI HUB</t>
  </si>
  <si>
    <t>THAKUR DAIBETIC AND HEART HOSPITAL</t>
  </si>
  <si>
    <t>HIGH BORN PLASTIC SURGERY CLINIC</t>
  </si>
  <si>
    <t>VIRAT ENDOCRINE AND DIABETES HOSPITAL</t>
  </si>
  <si>
    <t>SRI CHAITANYA CLINIC</t>
  </si>
  <si>
    <t>CHILD CARE CLINIC</t>
  </si>
  <si>
    <t>REJOICE DENTAL CLINIC</t>
  </si>
  <si>
    <t xml:space="preserve">CARE AND CURE </t>
  </si>
  <si>
    <t>GIRI CLINIC</t>
  </si>
  <si>
    <t>SRI JAGANNATH CLINIC</t>
  </si>
  <si>
    <t>GHANATHE CHILDREN CLINIC</t>
  </si>
  <si>
    <t>RUBY ENT CLINIC</t>
  </si>
  <si>
    <t>KONIN NEURO CENTER</t>
  </si>
  <si>
    <t>DERMASHINE LASER AND HAIR CLINIC</t>
  </si>
  <si>
    <t>SAMARTH JJ SUPER SPECIALITY CENTRE</t>
  </si>
  <si>
    <t>SHREE REVANASIDDESHWAR CLINIC</t>
  </si>
  <si>
    <t xml:space="preserve">SHRI DANESHWARI CLINIC </t>
  </si>
  <si>
    <t>PRAKRUTHI CLINIC</t>
  </si>
  <si>
    <t>HEERA ORTHO CLINIC</t>
  </si>
  <si>
    <t xml:space="preserve">DR MS ANJUMS DENTAL PRACTICE </t>
  </si>
  <si>
    <t>BUSHRA HEALTHCARE AND CUPPING CENTRE</t>
  </si>
  <si>
    <t>DR RAIRAMS DENTAL AND ORTHOPAEDIC CLINIC</t>
  </si>
  <si>
    <t>SHAH DENTAL CARE</t>
  </si>
  <si>
    <t>SIRI DENTAL CLINIC AND IMPLANT CENTRE</t>
  </si>
  <si>
    <t>AYU CLINIC</t>
  </si>
  <si>
    <t>BHAVANI CLINIC</t>
  </si>
  <si>
    <t>VENKATADRI SPECIALITY DENTAL CLINIC</t>
  </si>
  <si>
    <t>TRUPTI DENTAL CNLIC AND IMPLANT CENTRE</t>
  </si>
  <si>
    <t>SMILE CARE DENTAL CLINIC</t>
  </si>
  <si>
    <t>MALKUDS SKIN CARE CLINIC</t>
  </si>
  <si>
    <t xml:space="preserve">SAROJANI KIDNEY CARE </t>
  </si>
  <si>
    <t>SALOTAGI DENTAL CARE</t>
  </si>
  <si>
    <t>SIDDAGANGA DENTAL PEDODONTIC AND ORTHODONTIC SPECIALITY CLINIC</t>
  </si>
  <si>
    <t>SS DENTAL IMPLANT AND DENTAL CLINIC</t>
  </si>
  <si>
    <t>DENTAL CURE</t>
  </si>
  <si>
    <t>SMILE RECREATIONS ORTHODONTIC &amp; MULTISPECIALITY DENTAL CLINIC</t>
  </si>
  <si>
    <t>HARSH CLINICAL LABORATORY AND CANCER CLINIC</t>
  </si>
  <si>
    <t>KHETAKI SHISH CARE CLINIC</t>
  </si>
  <si>
    <t>BALABATTI SKIN, HAIR AND NAIL CLINIC</t>
  </si>
  <si>
    <t>KOTHARI EYE CARE CENTERE</t>
  </si>
  <si>
    <t>APEX DENTAL CLINIC</t>
  </si>
  <si>
    <t>SUN DENTAL</t>
  </si>
  <si>
    <t>YASH DENTAL CLINIC</t>
  </si>
  <si>
    <t>SAI MULTISPECIALITY DENTAL CLINIC</t>
  </si>
  <si>
    <t>PIMPALE DENTAL CLINIC</t>
  </si>
  <si>
    <t>YELSANGIKAR HEART CLINIC</t>
  </si>
  <si>
    <t>SHREE CLINIC</t>
  </si>
  <si>
    <t>SANJEEVANI CLINIC KOOSNOOR</t>
  </si>
  <si>
    <t>DANTALAYA THE ORAL HEALTH CENTRE</t>
  </si>
  <si>
    <t>A J CLINIC</t>
  </si>
  <si>
    <t>GURUSHARAN ARTHRITIS AND RHEAMATOLOGY CLINIC</t>
  </si>
  <si>
    <t xml:space="preserve">SHREE SAI DENTAL CLINIC </t>
  </si>
  <si>
    <t>SHREE CLINIC KALABURAGI</t>
  </si>
  <si>
    <t>PAVAN DENTAL CLINIC</t>
  </si>
  <si>
    <t>BANKUR MULTISPECIALITY DENTAL CLINIC</t>
  </si>
  <si>
    <t>SIMICON METROPOLIS LAB COLLECTION CENTRE</t>
  </si>
  <si>
    <t>UNNATI CLINIC</t>
  </si>
  <si>
    <t>MAHALAXMI CLINIC</t>
  </si>
  <si>
    <t>ATHARVA CLINIC</t>
  </si>
  <si>
    <t>ALASHETTY SPECIALITY CLINIC</t>
  </si>
  <si>
    <t>CL</t>
  </si>
  <si>
    <t>VED DENTAL CLINIC</t>
  </si>
  <si>
    <t>SMILE DENTAL CLINIC</t>
  </si>
  <si>
    <t>DENTAL CARE HOSPITAL</t>
  </si>
  <si>
    <t>DIWANJI MULTISPECIALITY DENTAL CLINIC</t>
  </si>
  <si>
    <t>DENTAL CARE CLINIC AND IMPLANT CENTRE</t>
  </si>
  <si>
    <t>THAKUR HAIR TRANSPLANT DENTAL &amp; IMPLANT CLINIC</t>
  </si>
  <si>
    <t>DANTAH DENTAL</t>
  </si>
  <si>
    <t>32 PERARLS DENTAL SPECIALITIES</t>
  </si>
  <si>
    <t>DC</t>
  </si>
  <si>
    <t>MEDISCAN DAIGNOSTIC &amp; HEALTH CARE PVT LTD</t>
  </si>
  <si>
    <t>CRYSTAL DAIGNOSTIC CENTRE</t>
  </si>
  <si>
    <t>ANITA SCANNING CENTRE</t>
  </si>
  <si>
    <t>DNA DIAGNOSTIC CENTRE</t>
  </si>
  <si>
    <t>NAVODAYA SUPER SPECIALITY CENTRE</t>
  </si>
  <si>
    <t>MEDISAN DIAGNOSTIC CENTRE</t>
  </si>
  <si>
    <t>MEDISAN DIAGNOSTIC CENTRE KALABURAGI</t>
  </si>
  <si>
    <t>VIJAYA DIAGNOSTIC CENTRE</t>
  </si>
  <si>
    <t>UNICARE DIAGNOSTIC CENTRE</t>
  </si>
  <si>
    <t>BABAHOUSE DIAGNOSTIC CENTRE</t>
  </si>
  <si>
    <t>SANJEEVINI DIAGNOSTIC CENTRE</t>
  </si>
  <si>
    <t>ROYAL DIAGNOSTIC CENTRE</t>
  </si>
  <si>
    <t>LIFE SCAN DIAGNOSTIC &amp; SCANNING CENTRE</t>
  </si>
  <si>
    <t>BINDU DIAGNOSTIC LABORATORY</t>
  </si>
  <si>
    <t>KALBURAGI SCANNINIG AND DIAGNOSTIC CENTRE</t>
  </si>
  <si>
    <t>SRIDHAR DAIGNOSTIC LABORATORY</t>
  </si>
  <si>
    <t>POOJA DAIGNOSTIC LABORATARY</t>
  </si>
  <si>
    <t>KARTHIK DAIGNOSTIC CENTRE</t>
  </si>
  <si>
    <t>SRI  DIAGNOSTICS</t>
  </si>
  <si>
    <t>SHREE BHAVANI DIAGNOSTIC CENTRE</t>
  </si>
  <si>
    <t>ARKA DIAGNOSTIC AND SCANNING CENTRE</t>
  </si>
  <si>
    <t>VIJAY CENTRE</t>
  </si>
  <si>
    <t>NAGALIKAR DIAGNOSTIC-SCANNING CENTRE</t>
  </si>
  <si>
    <t>MEDILAB DIAGNOSTIC CENTRE</t>
  </si>
  <si>
    <t>CRESCENT DIAGNOSTIC</t>
  </si>
  <si>
    <t>IKON DIAGNOSTIC</t>
  </si>
  <si>
    <t>NAGALIKAR DIAGNOSTIC-SCANNING CENTRE KALABURAGI</t>
  </si>
  <si>
    <t>SAI DIAGNOSTIC CENTRE</t>
  </si>
  <si>
    <t>SHIVA SAI DIAGNOSTIC CENTRE</t>
  </si>
  <si>
    <t>JANANI SCANING CENTER</t>
  </si>
  <si>
    <t>Lab</t>
  </si>
  <si>
    <t>MIRAJ MULTISPECIALITY HOSPITAL</t>
  </si>
  <si>
    <t>GOUDAR MATERNITY AND GENERAL HSOPITAL</t>
  </si>
  <si>
    <t>JAKATI CHILDRENS HOSPITAL</t>
  </si>
  <si>
    <t>SHREYAS MULTISPECIALITY AND TRAUMA CARE HOSPITAL</t>
  </si>
  <si>
    <t>AROGYA HOSPITAL</t>
  </si>
  <si>
    <t>AMOGHA HOSPITAL</t>
  </si>
  <si>
    <t>SOFI HOSPITAL</t>
  </si>
  <si>
    <t>BADAGHAR HEALTH CARE CLINIC</t>
  </si>
  <si>
    <t>PATEL CLINIC</t>
  </si>
  <si>
    <t>BANGALORE CLINIC</t>
  </si>
  <si>
    <t>NIRMALA DEVI CHILD AND MATERNITY CLINIC</t>
  </si>
  <si>
    <t>NIRMALA HOSPITAL (CLINIC)</t>
  </si>
  <si>
    <t>PATEL HEALTH CARE CLINIC</t>
  </si>
  <si>
    <t>ADITYA CLINIC</t>
  </si>
  <si>
    <t>SAI CLINIC</t>
  </si>
  <si>
    <t>KALABURAGI LIFE CARE CLINIC</t>
  </si>
  <si>
    <t>LIFE CLINIC</t>
  </si>
  <si>
    <t>THAKUR CHILDREN CLINIC</t>
  </si>
  <si>
    <t>VENKATESHWAR DENTAL CLINIC</t>
  </si>
  <si>
    <t>SHREE SWAMY CLINIC</t>
  </si>
  <si>
    <t>BOMBAY CLINIC</t>
  </si>
  <si>
    <t>AL SHIFA CLINIC</t>
  </si>
  <si>
    <t>SOLAPUR CLINIC</t>
  </si>
  <si>
    <t>AL HAYAT CLINIC</t>
  </si>
  <si>
    <t>BIJAPUR LIFE CARE CLINIC</t>
  </si>
  <si>
    <t>BASAVA CLINIC</t>
  </si>
  <si>
    <t>BHAGYASHREE CLINIC</t>
  </si>
  <si>
    <t>BHARAT CLINIC</t>
  </si>
  <si>
    <t>SHREE DHANVANTRI CLINIC</t>
  </si>
  <si>
    <t>ARJUN DENTAL AND IMPLANT CENTRE</t>
  </si>
  <si>
    <t>GOLA DENTAL CLINIC</t>
  </si>
  <si>
    <t>SAI’S DENTAL AND IMPLANT CENTER</t>
  </si>
  <si>
    <t>DR. KK’S DENTAL SPACE</t>
  </si>
  <si>
    <t>SRI MARADI MALLIKARJUN DIAGNOSTIC LABORATORY</t>
  </si>
  <si>
    <t>NANDI DIAGNOSTIC LABORATORY</t>
  </si>
  <si>
    <t>EXPERT DIAGNOSTIC LABORATORY</t>
  </si>
  <si>
    <t>SAJJAN DIAGNOSTIC LABORATORY</t>
  </si>
  <si>
    <t>LAXMI DIAGNOSTIC LABORATORY</t>
  </si>
  <si>
    <t>SANJEEVINI DIAGNOSTIC LABORATORY</t>
  </si>
  <si>
    <t>SHREYAS DIAGNOSTIC LABORATORY</t>
  </si>
  <si>
    <t>PRAGATI DIAGNOSTIC LABORATORY</t>
  </si>
  <si>
    <t>S R DIAGNOSTICS AND IMAGING CENTRE PVT LTD</t>
  </si>
  <si>
    <t>JEWARGI</t>
  </si>
  <si>
    <t>YADRAMI</t>
  </si>
  <si>
    <t>NELOGI</t>
  </si>
  <si>
    <t>GANGOTRI  MULTISPECIALITY  HOSPITAL</t>
  </si>
  <si>
    <t xml:space="preserve">SADGURU SIDDAROODH SWAMY HOSPITAL </t>
  </si>
  <si>
    <t>NOOLA CLINIC</t>
  </si>
  <si>
    <t>BIRADAR DENTAL HOSPITAL</t>
  </si>
  <si>
    <t>SHREE BASAVA CLINIC</t>
  </si>
  <si>
    <t>SHREE PARVATI CLINIC</t>
  </si>
  <si>
    <t>LALITA CLINIC</t>
  </si>
  <si>
    <t>SANGAMESHWARA CLINICAL LABORATORY</t>
  </si>
  <si>
    <t>S B CLINIC, YEDRAMI</t>
  </si>
  <si>
    <t>SRI SHARANABASAVESHWAR CLINIC</t>
  </si>
  <si>
    <t>SUBHANI CLINIC</t>
  </si>
  <si>
    <t>SHRI ANNAPURNA CLINIC</t>
  </si>
  <si>
    <t>SHRI BASAVA BHAGYA CLINIC</t>
  </si>
  <si>
    <t>S M CLINICAL LABORATORY</t>
  </si>
  <si>
    <t>SHREE BANASHANKARI DENTAL CLINIC</t>
  </si>
  <si>
    <t>SHREE MALLIKARJUN CLINIC</t>
  </si>
  <si>
    <t>NANDINI CLINIC</t>
  </si>
  <si>
    <t>SHREE GURU CLINIC</t>
  </si>
  <si>
    <t>DHANVANTARI CLINIC</t>
  </si>
  <si>
    <t>LIFE CARE CLINIC</t>
  </si>
  <si>
    <t>IJERI</t>
  </si>
  <si>
    <t>LAB</t>
  </si>
  <si>
    <t>SARVODAYA HOSPITAL</t>
  </si>
  <si>
    <t>SEDAM HOSPITAL</t>
  </si>
  <si>
    <t>RADHAKRISHNA HOSPITAL</t>
  </si>
  <si>
    <t>REDDY HOSPITAL</t>
  </si>
  <si>
    <t>DR VENKAT REDDY PATIL HOSPITAL</t>
  </si>
  <si>
    <t>ASHWINI MULTISPECIALITY HOSPITAL</t>
  </si>
  <si>
    <t>DR. SANGAVI HOSPITAL</t>
  </si>
  <si>
    <t>NISARGA MULTI CARE HOSPITAL</t>
  </si>
  <si>
    <t>PATIL MEDICAL CENTRE</t>
  </si>
  <si>
    <t xml:space="preserve">SHREE CLINIC </t>
  </si>
  <si>
    <t>AYUSH CLINIC</t>
  </si>
  <si>
    <t>KANKERIS KIDS CARE</t>
  </si>
  <si>
    <t>SRI VENKATESHWARA CLINIC</t>
  </si>
  <si>
    <t>SHAH MEDICAL CENTRE</t>
  </si>
  <si>
    <t>SADASHIV HOSPITAL</t>
  </si>
  <si>
    <t>DR AZHAR CLINIC</t>
  </si>
  <si>
    <t>HEMAREDDY MALLAMMA MEDICAL CENTRE</t>
  </si>
  <si>
    <t>RANJOLKAR HOSPITAL</t>
  </si>
  <si>
    <t>DENTAL CLINIC</t>
  </si>
  <si>
    <t>KOLLUR ORTHO CARE</t>
  </si>
  <si>
    <t>HUMA MEDICAL CENTRE</t>
  </si>
  <si>
    <t>AROGYA CLINIC</t>
  </si>
  <si>
    <t>AGNOOR CLINIC</t>
  </si>
  <si>
    <t>MATRUCHAYA CLINIC</t>
  </si>
  <si>
    <t>SEDAM DANTALAYA</t>
  </si>
  <si>
    <t>BASAVA CLINIC SEDAM</t>
  </si>
  <si>
    <t>SHAH DENTAL CLINIC</t>
  </si>
  <si>
    <t>SANJEEVINI CLINIC SEDAM</t>
  </si>
  <si>
    <t>BALABHEEMASENA CLINIC</t>
  </si>
  <si>
    <t>SRI VENKATESHWARA CLINIC SEDAM</t>
  </si>
  <si>
    <t xml:space="preserve">SANJEEVINI CLINIC </t>
  </si>
  <si>
    <t>SRI BALAJI DIAGNOSTIC</t>
  </si>
  <si>
    <t>CHETAN CLINIC</t>
  </si>
  <si>
    <t>SEDAM DIAGNOSTIC LABORATORY</t>
  </si>
  <si>
    <t>AAROGYA DIAGNOSTIC CENTRE</t>
  </si>
  <si>
    <t>SEDAM</t>
  </si>
  <si>
    <t>MALKHED</t>
  </si>
  <si>
    <t>AYUSH CHILDREN HOSPITAL</t>
  </si>
  <si>
    <t>DHANVANTRI CLINIC</t>
  </si>
  <si>
    <t xml:space="preserve">SANGAMESHWAR CLINIC </t>
  </si>
  <si>
    <t xml:space="preserve">SRI VENKATESHWAR CLINIC  </t>
  </si>
  <si>
    <t>DHANVANTRI OCCUPATIONAL HEALTH CENTER MALKHED</t>
  </si>
  <si>
    <t>OCCUPATIONAL HEALTH CENTRE  SARAL NAGAR CEMENT WORKS</t>
  </si>
  <si>
    <t>DR OHM INDO-GERMAN HOSPITAL</t>
  </si>
  <si>
    <t>AL KAUASAR ORTHO MATERNITY AND MULTISPECIALITY HOSPITAL</t>
  </si>
  <si>
    <t>BALBATTI CLINIC</t>
  </si>
  <si>
    <t>BASAVA CLINIC, CHITTAPUR</t>
  </si>
  <si>
    <t>GIRI BASAVA CLINIC</t>
  </si>
  <si>
    <t>HAFEEZ CLINIC</t>
  </si>
  <si>
    <t>JAI BHAVANI MEDICAL CENTRE</t>
  </si>
  <si>
    <t>NEW ASIF POLY CLINIC</t>
  </si>
  <si>
    <t>NIJAMUDDIN DENTAL CLINIC</t>
  </si>
  <si>
    <t>SAPNA CLINIC</t>
  </si>
  <si>
    <t>SREE RAGHAVENDRA MEDICAL CENTRE</t>
  </si>
  <si>
    <t>TAMANNA DENTAL CLINIC</t>
  </si>
  <si>
    <t>TIKADAR CLINIC</t>
  </si>
  <si>
    <t>ASHWINI DIAGNOSTIC LABORATORY</t>
  </si>
  <si>
    <t>ORBIT DIAGNOSTIC LABORATORY</t>
  </si>
  <si>
    <t>CHITTAPUR</t>
  </si>
  <si>
    <t>SHAHABAD</t>
  </si>
  <si>
    <t>WADI</t>
  </si>
  <si>
    <t>HANIYA HEALTH CARE MATERNITY AND GENERAL HOSPITAL</t>
  </si>
  <si>
    <t>JEEVAN SEVA MATERNITY AND GENERAL HOSPITAL</t>
  </si>
  <si>
    <t>SHIFA HOSPITAL</t>
  </si>
  <si>
    <t>SAI HOSPITAL</t>
  </si>
  <si>
    <t>AMBIKA CLINIC</t>
  </si>
  <si>
    <t>ANAND CLINIC</t>
  </si>
  <si>
    <t>DANDOTI CLINIC</t>
  </si>
  <si>
    <t>DR V C. INGINSHETTY CLINIC</t>
  </si>
  <si>
    <t>MATHWALI CLINIC</t>
  </si>
  <si>
    <t>NAVJEEVAN CLINIC</t>
  </si>
  <si>
    <t>S.K. DENTAL CARE</t>
  </si>
  <si>
    <t>SANJEEV CLINIC</t>
  </si>
  <si>
    <t>JADHAV CLINIC</t>
  </si>
  <si>
    <t>AL NISA CLINIC</t>
  </si>
  <si>
    <t>ANSARI CLINIC</t>
  </si>
  <si>
    <t>PAWAR CLINIC</t>
  </si>
  <si>
    <t>RAILWAY POLY CLINIC</t>
  </si>
  <si>
    <t>SANJAY B MUNOLI CHILDRENS CLINIC</t>
  </si>
  <si>
    <t>TAMANNA MEDICAL AND DENTAL CLINIC</t>
  </si>
  <si>
    <t>VEERESH CLINIC</t>
  </si>
  <si>
    <t xml:space="preserve">VIKAS CLINIC, WADI </t>
  </si>
  <si>
    <t>VIKAS SPECIALITY HEALTH CARE CLINIC</t>
  </si>
  <si>
    <t>WADI DIAGNOSTIC LABORATORY</t>
  </si>
  <si>
    <t xml:space="preserve">UNIVERSAL CLINIC, </t>
  </si>
  <si>
    <t>AVATIS PUSHKAR HOSPITAL</t>
  </si>
  <si>
    <t>NAVAJEEVAN BLOOD CENTRE (BLOOD BANK)</t>
  </si>
  <si>
    <t>BLOOD BANK</t>
  </si>
  <si>
    <t>Jewargi Taluk</t>
  </si>
  <si>
    <t>Sedam Taluk</t>
  </si>
  <si>
    <t>Chittapur Taluk</t>
  </si>
  <si>
    <t>Kalaburagi Taluk</t>
  </si>
  <si>
    <t>Itkal</t>
  </si>
  <si>
    <t>Khanagadda</t>
  </si>
  <si>
    <t>Khanderayanapalli</t>
  </si>
  <si>
    <t>Kodla</t>
  </si>
  <si>
    <t>Kolkunda</t>
  </si>
  <si>
    <t>Kurkunta</t>
  </si>
  <si>
    <t>Madana</t>
  </si>
  <si>
    <t>Yadga</t>
  </si>
  <si>
    <t>General Waste</t>
  </si>
  <si>
    <t>GENERAL</t>
  </si>
  <si>
    <t>ESIC DENTAL COLLEGE</t>
  </si>
  <si>
    <t>Namma Clinic</t>
  </si>
  <si>
    <t>SC-AAM</t>
  </si>
  <si>
    <t>Jogurv</t>
  </si>
  <si>
    <t>Herur</t>
  </si>
  <si>
    <t>B.Pattan</t>
  </si>
  <si>
    <t>Kavalga</t>
  </si>
  <si>
    <t>Hagargundagi</t>
  </si>
  <si>
    <t>Hunsi Hadgil</t>
  </si>
  <si>
    <t>Haruti Hadgil</t>
  </si>
  <si>
    <t>Pattan</t>
  </si>
  <si>
    <t>Bhimalli</t>
  </si>
  <si>
    <t>Sirsgi</t>
  </si>
  <si>
    <t>Kadani</t>
  </si>
  <si>
    <t>Sindgi</t>
  </si>
  <si>
    <t>Firojabad</t>
  </si>
  <si>
    <t>Panegaon</t>
  </si>
  <si>
    <t>Saradgi-B</t>
  </si>
  <si>
    <t xml:space="preserve">Kumsi </t>
  </si>
  <si>
    <t>Astaga</t>
  </si>
  <si>
    <t>Taj Sultanpur</t>
  </si>
  <si>
    <t>Kunsur</t>
  </si>
  <si>
    <t>Nandikur</t>
  </si>
  <si>
    <t>Khanadal</t>
  </si>
  <si>
    <t>Itga</t>
  </si>
  <si>
    <t>Pala</t>
  </si>
  <si>
    <t>Hagarga</t>
  </si>
  <si>
    <t>Sonnur</t>
  </si>
  <si>
    <t>Kalmood</t>
  </si>
  <si>
    <t>Hosur</t>
  </si>
  <si>
    <t>Ladlapur</t>
  </si>
  <si>
    <t>Halkatta</t>
  </si>
  <si>
    <t>Ramatheerth</t>
  </si>
  <si>
    <t>Bhankalga</t>
  </si>
  <si>
    <t>Kandgola</t>
  </si>
  <si>
    <t>Bedsur</t>
  </si>
  <si>
    <t>Bhagodi</t>
  </si>
  <si>
    <t xml:space="preserve"> Mudbool</t>
  </si>
  <si>
    <t>Mogla</t>
  </si>
  <si>
    <t>Chincholi</t>
  </si>
  <si>
    <t>Shellgi</t>
  </si>
  <si>
    <t>Tunoor</t>
  </si>
  <si>
    <t>Thurkaspeth</t>
  </si>
  <si>
    <t>Sannathi</t>
  </si>
  <si>
    <t>Gotur</t>
  </si>
  <si>
    <t>Kalgurthi</t>
  </si>
  <si>
    <t>Rajapur</t>
  </si>
  <si>
    <t>Sugur</t>
  </si>
  <si>
    <t>Kodadur</t>
  </si>
  <si>
    <t>Nalwar Station</t>
  </si>
  <si>
    <t>Yagapur</t>
  </si>
  <si>
    <t>Bhankur</t>
  </si>
  <si>
    <t>Marthur</t>
  </si>
  <si>
    <t>Moulnagaon</t>
  </si>
  <si>
    <t>Taranalli</t>
  </si>
  <si>
    <t>Hongunta</t>
  </si>
  <si>
    <t>Gola K</t>
  </si>
  <si>
    <t>Tonasalli</t>
  </si>
  <si>
    <t>Malgatti</t>
  </si>
  <si>
    <t>Euni</t>
  </si>
  <si>
    <t>Ingalgi</t>
  </si>
  <si>
    <t>Konchur</t>
  </si>
  <si>
    <t>Alur</t>
  </si>
  <si>
    <t>Kamaradgi</t>
  </si>
  <si>
    <t>Bilwar</t>
  </si>
  <si>
    <t>Muthkhod</t>
  </si>
  <si>
    <t>Hangarga</t>
  </si>
  <si>
    <t>Halgadla</t>
  </si>
  <si>
    <t>Kellur</t>
  </si>
  <si>
    <t>Hullur</t>
  </si>
  <si>
    <t>Kadgol</t>
  </si>
  <si>
    <t>Sumbad</t>
  </si>
  <si>
    <t>Honnal</t>
  </si>
  <si>
    <t>Mudbal b</t>
  </si>
  <si>
    <t>Yalwar</t>
  </si>
  <si>
    <t>Sathkhed</t>
  </si>
  <si>
    <t>Mayur</t>
  </si>
  <si>
    <t>Kallur k</t>
  </si>
  <si>
    <t>Ranjangi</t>
  </si>
  <si>
    <t>Jewargi k</t>
  </si>
  <si>
    <t>Kollakur</t>
  </si>
  <si>
    <t>Gownalli</t>
  </si>
  <si>
    <t>Kuralgera</t>
  </si>
  <si>
    <t>Kachapur</t>
  </si>
  <si>
    <t>Magangera</t>
  </si>
  <si>
    <t>Hipparga</t>
  </si>
  <si>
    <t>Sonna</t>
  </si>
  <si>
    <t>Harwal</t>
  </si>
  <si>
    <t>Vastari</t>
  </si>
  <si>
    <t>Gudur</t>
  </si>
  <si>
    <t>Kattisangvi</t>
  </si>
  <si>
    <t>Balbatti</t>
  </si>
  <si>
    <t>Yelgod</t>
  </si>
  <si>
    <t>Chandapura</t>
  </si>
  <si>
    <t>Motakpalli</t>
  </si>
  <si>
    <t>Kanagadda</t>
  </si>
  <si>
    <t>Medak</t>
  </si>
  <si>
    <t>Lingampalli</t>
  </si>
  <si>
    <t>Ribbanapalli</t>
  </si>
  <si>
    <t>Goudanahalli</t>
  </si>
  <si>
    <t>Handraki</t>
  </si>
  <si>
    <t>Benkanhalli</t>
  </si>
  <si>
    <t>Udagi</t>
  </si>
  <si>
    <t>Dugnoor</t>
  </si>
  <si>
    <t>Malakapalli</t>
  </si>
  <si>
    <t>Kurkunta-A</t>
  </si>
  <si>
    <t>Kurkunta-B</t>
  </si>
  <si>
    <t>Adki</t>
  </si>
  <si>
    <t>Betagera-B</t>
  </si>
  <si>
    <t>Madakal</t>
  </si>
  <si>
    <t>Kadscherla</t>
  </si>
  <si>
    <t>Mudhol-A</t>
  </si>
  <si>
    <t>Mudhol-B</t>
  </si>
  <si>
    <t>Ranjol</t>
  </si>
  <si>
    <t>Kukunda</t>
  </si>
  <si>
    <t>Malkhed-A</t>
  </si>
  <si>
    <t>Malkhed-B</t>
  </si>
  <si>
    <t>Mugnoor</t>
  </si>
  <si>
    <t>Habal-T</t>
  </si>
  <si>
    <t>Neelhalli</t>
  </si>
  <si>
    <t xml:space="preserve">Kotnoor </t>
  </si>
  <si>
    <t>Total No Of Bed's Coverd by CBMWTF</t>
  </si>
  <si>
    <t>Total No.Of HCF'S Coverd by CBMWTF</t>
  </si>
  <si>
    <t>SADBHAVA HOSPITAL-II</t>
  </si>
  <si>
    <t>Sri Sai Krupa Hospital</t>
  </si>
  <si>
    <t>KID CARE CHILDREN’S HOSPITAL, KALABURAGI</t>
  </si>
  <si>
    <t>DIVINE MULTISPECIALITY HOSPITAL</t>
  </si>
  <si>
    <t>METRO PLUS MULTISPECIALITY HOSPITAL</t>
  </si>
  <si>
    <t>I CARE HOSPITAL</t>
  </si>
  <si>
    <t>CHETANA HOSPITAL</t>
  </si>
  <si>
    <t>S K CHAVAN PHYSIOTHERAPY CENTRE</t>
  </si>
  <si>
    <t>KAULGI NURSING HOME</t>
  </si>
  <si>
    <t>LITTLE STAR CHILDREN HOSPITAL</t>
  </si>
  <si>
    <t>ARUJIVA AYURVEDA HOSPITAL</t>
  </si>
  <si>
    <t>SAYUG HOSPITAL</t>
  </si>
  <si>
    <t>SMT POORNIMA PM BIRADAR CHARITABLE DIALYSIS CENTRE</t>
  </si>
  <si>
    <t>REGIONAL FORENSIC SCIENCE LABORATORY</t>
  </si>
  <si>
    <t>SOUMYA CLINIC</t>
  </si>
  <si>
    <t>Quantity of Bio-medical Waste Received All in Kg/month</t>
  </si>
  <si>
    <t>BB</t>
  </si>
  <si>
    <t>BASAVA CLINIC KOLKUR</t>
  </si>
  <si>
    <t>SC</t>
  </si>
  <si>
    <t>CHIRAG MS HOSPTIAL</t>
  </si>
  <si>
    <t>DEC Salt Project Karnataka</t>
  </si>
  <si>
    <t>POONA MULTISPECIALITY HOSPITAL</t>
  </si>
  <si>
    <t>RAHAT CLINIC</t>
  </si>
  <si>
    <t>SHREE SAI CLINIC</t>
  </si>
  <si>
    <t>SURAJ ULTRASOUND SCANNING CENTRE</t>
  </si>
  <si>
    <t>VETERINARY HOSPITAL JEWARGI</t>
  </si>
  <si>
    <t>BHOOMIKA CLINIC MALKHED</t>
  </si>
  <si>
    <t>DR ASMA ZAMEER CLINIC SEDAM</t>
  </si>
  <si>
    <t>Dr S N Doddamani Clinic Sedam</t>
  </si>
  <si>
    <t>HARSHA HEALTH CARE CENTRE</t>
  </si>
  <si>
    <t>INDIAN CLINIC</t>
  </si>
  <si>
    <t>IS CARE CLINIC</t>
  </si>
  <si>
    <t>MARUTI DIAGNOSTIC LABORATORY</t>
  </si>
  <si>
    <t>MK NOBLE MULTISPECIALITY HOSPITAL, SEDAM</t>
  </si>
  <si>
    <t>PAYAL CLINIC, SEDAM</t>
  </si>
  <si>
    <t>POLY CLINIC AND HOSPITAL</t>
  </si>
  <si>
    <t>Priyanka Clinic Sedam</t>
  </si>
  <si>
    <t>SAI BALAJI CLINIC SEDAM</t>
  </si>
  <si>
    <t>Sangameshwar Clinic Sedam Reddy</t>
  </si>
  <si>
    <t xml:space="preserve">SANGAMESHWARA CLINIC SEDAM </t>
  </si>
  <si>
    <t>SANJEEVINI CLINIC SEDAM 02</t>
  </si>
  <si>
    <t>SARKAR CLINIC (CLOSED)</t>
  </si>
  <si>
    <t>SHIRI DIAGNOSTIC CARE, SEDAM</t>
  </si>
  <si>
    <t>SHREE BASAVA HOSPITAL SEDAM</t>
  </si>
  <si>
    <t>SHREE CEMENT LIMITED KODLA</t>
  </si>
  <si>
    <t>SHREE DATTA CLINIC SEDAM</t>
  </si>
  <si>
    <t>SHREE R K DIAGNOSTIC CARE</t>
  </si>
  <si>
    <t>THA CLINIC</t>
  </si>
  <si>
    <t>ULTRA TECH CEMENT (WORKS : RAJASHREE CEMENT WORKS)MALKHED</t>
  </si>
  <si>
    <t>Umamaheshwar Clinic</t>
  </si>
  <si>
    <t>BASAVA CLINIC BANKUR</t>
  </si>
  <si>
    <t>Cer Clinic</t>
  </si>
  <si>
    <t>DHANVANTRI CLINIC, BHANKUR</t>
  </si>
  <si>
    <t>EYE HEALTH CARE</t>
  </si>
  <si>
    <t>NAIK CLINIC</t>
  </si>
  <si>
    <t>OHC ADANI CEMENT LTD CHITTAPUR</t>
  </si>
  <si>
    <t xml:space="preserve">PATIL CLINIC </t>
  </si>
  <si>
    <t xml:space="preserve">PRIYANANKA CLINIC </t>
  </si>
  <si>
    <t>S.K. DENTAL CARE SHAHABAD</t>
  </si>
  <si>
    <t>SANGAMESHWAR CLINIC Kalagi</t>
  </si>
  <si>
    <t>SRINIVAS CLINIC</t>
  </si>
  <si>
    <t>VISHWA CLINIC</t>
  </si>
  <si>
    <t>JAI BHAVANI DIAGNOSTIC LABORATORY</t>
  </si>
  <si>
    <t>Kalagi Dantalaya</t>
  </si>
  <si>
    <t>KUNSH CLINIC</t>
  </si>
  <si>
    <t>NAMDAR DIAGNOSTIC LABORATORY</t>
  </si>
  <si>
    <t>R K CLINIC, KALAGI</t>
  </si>
  <si>
    <t>RAZA CLINIC,</t>
  </si>
  <si>
    <t>SHARADA CHILDRENS CLINIC AND LABORATORY</t>
  </si>
  <si>
    <t>SHREE RAM CLINIC</t>
  </si>
  <si>
    <t>SHRI RAM MEDICAL SAMARTH CENTRE</t>
  </si>
  <si>
    <t>TUKARAM JADHAV CLINIC KALAGI</t>
  </si>
  <si>
    <t>ASHWINI LAB WADI</t>
  </si>
  <si>
    <t>GIRI DENTAL CLINIC</t>
  </si>
  <si>
    <t>CHAVAN LAB SHAHABAD</t>
  </si>
  <si>
    <t>JADHAV CLINIC, SHAHABAD</t>
  </si>
  <si>
    <t>ROYAL LAB SHAHABAD</t>
  </si>
  <si>
    <t>SAI HOSPITAL SHAHABAD</t>
  </si>
  <si>
    <t>SANJEEVINI CLINIC SHAHABAD</t>
  </si>
  <si>
    <t>SURAKSHA EDUCATIONAL AND CHARITABLE TRUST</t>
  </si>
  <si>
    <t>ACCURA DIAGNOSTIC LAB</t>
  </si>
  <si>
    <t>ANCHORAGE DENTAL CLINIC</t>
  </si>
  <si>
    <t>ANUGRAHA DIABETES AND ENDOCRINOLOGY</t>
  </si>
  <si>
    <t>APOLLO LAB</t>
  </si>
  <si>
    <t>ASHWINI DIAGNOSTIC LABORATORY KLB</t>
  </si>
  <si>
    <t>AVNI ENT CLINIC</t>
  </si>
  <si>
    <t>AYUSH DENTAL CLINIC AND IMPLANT CENTRE</t>
  </si>
  <si>
    <t>BASAVA CLINIC KALABURAGI</t>
  </si>
  <si>
    <t xml:space="preserve">BHANDAR SKIN HAIR LASER COSMETIC AND CHILDREN CLINIC, </t>
  </si>
  <si>
    <t>DR AMOGH EYE HOSPITAL</t>
  </si>
  <si>
    <t>GUBBI DIAGNOSTIC</t>
  </si>
  <si>
    <t>HARWAL CLINIC</t>
  </si>
  <si>
    <t>HARWALKAR CHILDREN HOSPITAL</t>
  </si>
  <si>
    <t>HEALTH CARE CLINIC</t>
  </si>
  <si>
    <t>HEALTH CENTRE KARNTAKA HIGH COURT CIRCUIT BENCH</t>
  </si>
  <si>
    <t>HEBBAL HEART CENTRE</t>
  </si>
  <si>
    <t>KADWADES ORTHODERMA CLINIC</t>
  </si>
  <si>
    <t>KALABURAGI WOMEN AND CHILDRENS HOSPITAL</t>
  </si>
  <si>
    <t>KALASH DIAGNOSTIC LAB</t>
  </si>
  <si>
    <t>KAMADHENU VETERINARY CLINIC</t>
  </si>
  <si>
    <t>KANTA SUPERSPECIALITY CENTRE</t>
  </si>
  <si>
    <t>KINAGI CLINICAL LABORATORY</t>
  </si>
  <si>
    <t>KINDER CARE PAEDIATRIC CLINIC</t>
  </si>
  <si>
    <t>KUSUMA CLINIC</t>
  </si>
  <si>
    <t>LAPAROSOCOPY HOSPITAL</t>
  </si>
  <si>
    <t>MANIYAR HEALTH CARE CLINIC</t>
  </si>
  <si>
    <t>MATRUCHAYA HOSPITAL</t>
  </si>
  <si>
    <t>MODI HOSPITAL</t>
  </si>
  <si>
    <t>NAGATHAN HOSPITAL</t>
  </si>
  <si>
    <t>NANDAN LAB</t>
  </si>
  <si>
    <t>NOVA IVF FERTILITY</t>
  </si>
  <si>
    <t>OM CLINIC</t>
  </si>
  <si>
    <t xml:space="preserve">PATIL HOSPITAL CENTRE FOR ORTHOPEDICS AND TRUMA </t>
  </si>
  <si>
    <t>SA'S DENTAL AND IMPLANT CENTER</t>
  </si>
  <si>
    <t>SAJJAN SHETTY HEART AND DIAGNOSTIC CENTRE</t>
  </si>
  <si>
    <t>SAJJALASRI ORTHODONTICS AND DENTAL IMPLANTS CENTRE</t>
  </si>
  <si>
    <t>SAMZIOS PALLIATIVE CARE RESEARCH INST PVT LTD</t>
  </si>
  <si>
    <t>SANKALPA WOMEN &amp; CHILD CARE CLINIC</t>
  </si>
  <si>
    <t>SATVA ORTHO CARE</t>
  </si>
  <si>
    <t xml:space="preserve">SAYUG HOSPITAL, KALABURAGI </t>
  </si>
  <si>
    <t>SHARNBASAVA AYURVEDIC HOSPITAL KAALBURAGI</t>
  </si>
  <si>
    <t>SHETTY HOMIOPATHIC MEDICAL COLLEGE AND (service not given) HOSPITAL</t>
  </si>
  <si>
    <t>SHREE BASALINGAPPA NISTY MEMORIAL HEART CENTRE</t>
  </si>
  <si>
    <t>SHREE BHAGYVANTI CLINIC</t>
  </si>
  <si>
    <t>SHREE DENTAL &amp; IMPLANT CENTRE</t>
  </si>
  <si>
    <t>SHREE GANESH CLINIC</t>
  </si>
  <si>
    <t>SHREE SHARAN POLY CLINIC</t>
  </si>
  <si>
    <t>SRI SAI KRUPA HOSPITAL</t>
  </si>
  <si>
    <t>SHRI SHARANBASVA AYURVEDIC MEDICAL AND HOSPITAL</t>
  </si>
  <si>
    <t>SHWETHA DENTAL CARE</t>
  </si>
  <si>
    <t>SIDDARAMESHWARA EYE HOSPITAL</t>
  </si>
  <si>
    <t>SPANDANA CLINIC</t>
  </si>
  <si>
    <t>SPOORTI DIAGNOSTIC AND LABORATORY</t>
  </si>
  <si>
    <t>START CARE CLINIC</t>
  </si>
  <si>
    <t>VASCULAR CLINIC</t>
  </si>
  <si>
    <t>VIJAYALAXMI CLINIC</t>
  </si>
  <si>
    <t>VITALIS HEALTH CARE</t>
  </si>
  <si>
    <t>VISWACHETANA AYURVEDIC CHIKITSALAYA, KALABURAGI,</t>
  </si>
  <si>
    <t>Jewari</t>
  </si>
  <si>
    <t>SCANNING Centre</t>
  </si>
  <si>
    <t>VETERINARY HOSPITAL</t>
  </si>
  <si>
    <t>Ayush</t>
  </si>
  <si>
    <t>Dental</t>
  </si>
  <si>
    <t>Scanning
Center + X-Ray</t>
  </si>
  <si>
    <t>No of
HCF'S</t>
  </si>
  <si>
    <t>Government</t>
  </si>
  <si>
    <t>Private</t>
  </si>
  <si>
    <t>Non Bedded Govt Hospitals</t>
  </si>
  <si>
    <t>UPHC/Namma Clinics</t>
  </si>
  <si>
    <t>Arogya Component Blood Centre</t>
  </si>
  <si>
    <t>Non Bedded Private Hospitals</t>
  </si>
  <si>
    <t>MCH Hospital</t>
  </si>
  <si>
    <t>Kalaburagi</t>
  </si>
  <si>
    <t>MCH Hospitals</t>
  </si>
  <si>
    <t>SRI SATHYA SAI CLINIC</t>
  </si>
  <si>
    <t>SONAR HEALTH CARE</t>
  </si>
  <si>
    <t>OXYLIFE HOSPITAL</t>
  </si>
  <si>
    <t>SARIKA CLINIC</t>
  </si>
  <si>
    <t>SAMZIOS PALLIATIVE CARE RESEARCH INSTITIVE PVT LTD</t>
  </si>
  <si>
    <t>SANJEEVINI CLINIC KLB</t>
  </si>
  <si>
    <t>MAHALAXMI LAB JEWARGI</t>
  </si>
  <si>
    <t>NALWAR</t>
  </si>
  <si>
    <t>HALKAI ORTHO AND MULTI SPECIALITY DENTAL CLINIC</t>
  </si>
  <si>
    <t>BASAVA CLINIC JEWARGI</t>
  </si>
  <si>
    <t>CHAYAGOL SCANNING CENTRE</t>
  </si>
  <si>
    <t>POOJA CLINIC</t>
  </si>
  <si>
    <t>KALP NEUROLOLOGY CENTRE</t>
  </si>
  <si>
    <t>POSITIVE HEALTH CENTRE</t>
  </si>
  <si>
    <t>SURAKSHA BLOOD CENTRE</t>
  </si>
  <si>
    <t>BHANGARI HOSPITAL</t>
  </si>
  <si>
    <t>GANGA CLINIC</t>
  </si>
  <si>
    <t>BRAHMI CHILDREN &amp; GENERAL CLINIC</t>
  </si>
  <si>
    <t>SHREE AARAIKE HOSPITAL</t>
  </si>
  <si>
    <t>SAMZIOS PALLIATIVE CARE RESEARCH INSTITUTE</t>
  </si>
  <si>
    <t>RUSHI DIAGNOSTICS</t>
  </si>
  <si>
    <t xml:space="preserve">PATILS MULTISPECIALITY DENTAL CLINIC </t>
  </si>
  <si>
    <t>M N USTAD MULTISPECIALITY DENTAL HOSPITAL</t>
  </si>
  <si>
    <t>SAHARA LAB</t>
  </si>
  <si>
    <t>CHINNARI CHILD AND ADOLESCENT NEURO CARE</t>
  </si>
  <si>
    <t>S B MEMORIAL ASHWINI MATERNITY HOSPITAL</t>
  </si>
  <si>
    <t>SMILE DWNTAL CLINIC</t>
  </si>
  <si>
    <t>RUDRAPPA PATIL MEMORIAL HOSPITAL</t>
  </si>
  <si>
    <t>MG DENTISTRY DENTAL CLINIC</t>
  </si>
  <si>
    <t>INTEGRITY HOSPITAL</t>
  </si>
  <si>
    <t>CHIRAYU HOSPITAL SEDAM</t>
  </si>
  <si>
    <t>WELLCARE DENTAL CLINIC</t>
  </si>
  <si>
    <t>Kalaburgi Disrtict Taluk Wise Abstract for the Month of JUN- 2026</t>
  </si>
  <si>
    <t>Collection of Bio-Medical Waste from All Govt. Hospitals, Kalaburagi Dist. in Category wise for the month of JUN-2026</t>
  </si>
  <si>
    <t>Collection of Bio-Medical Waste from Jewargi Taluk, Kalaburagi Dist. in Category wise for the month of  JUN-2026</t>
  </si>
  <si>
    <t>Collection of Bio-Medical Waste from Sedam Taluk, Kalaburagi Dist. in Category wise for the month of JUN-2026</t>
  </si>
  <si>
    <t>Collection of Bio-Medical Waste from Chittapur Taluk, KalaburagiDist. in Category wise for the month of JUN-2026</t>
  </si>
  <si>
    <t>Collection of Bio-Medical Waste from Kalaburagi City, Kalaburagi Dist. in Category wise for the month of JUN-2026</t>
  </si>
  <si>
    <t>HENGULAMBIKA EDUCATION SOCIETY</t>
  </si>
  <si>
    <t>.</t>
  </si>
  <si>
    <t xml:space="preserve">Total No.Of Bedded Hospital, Clinic, Lab &amp; Blood Bank Coverd by CBMWTF </t>
  </si>
  <si>
    <t>VETERINARY HOSPITAL Yadrami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</si>
</sst>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0" borderId="0"/>
  </cellStyleXfs>
  <cellXfs count="218">
    <xf numFmtId="0" fontId="0" fillId="0" borderId="0" xfId="0"/>
    <xf numFmtId="0" fontId="18" fillId="0" borderId="0" xfId="0" applyFont="1" applyAlignment="1">
      <alignment horizontal="center"/>
    </xf>
    <xf numFmtId="0" fontId="19" fillId="0" borderId="10" xfId="0" applyFont="1" applyBorder="1"/>
    <xf numFmtId="0" fontId="18" fillId="0" borderId="0" xfId="0" applyFont="1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wrapText="1"/>
    </xf>
    <xf numFmtId="0" fontId="16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0" xfId="0" applyFont="1" applyBorder="1" applyAlignment="1">
      <alignment wrapText="1"/>
    </xf>
    <xf numFmtId="0" fontId="22" fillId="0" borderId="10" xfId="0" applyFont="1" applyBorder="1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2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6" fillId="0" borderId="10" xfId="0" applyFont="1" applyBorder="1" applyAlignment="1">
      <alignment wrapText="1"/>
    </xf>
    <xf numFmtId="0" fontId="0" fillId="0" borderId="0" xfId="0" applyAlignment="1">
      <alignment horizontal="right"/>
    </xf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10" xfId="0" applyFont="1" applyBorder="1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4" fillId="33" borderId="10" xfId="0" applyFont="1" applyFill="1" applyBorder="1" applyAlignment="1">
      <alignment horizontal="center"/>
    </xf>
    <xf numFmtId="0" fontId="0" fillId="33" borderId="10" xfId="42" applyFont="1" applyFill="1" applyBorder="1" applyAlignment="1" applyProtection="1">
      <alignment horizontal="left" vertical="center" wrapText="1"/>
      <protection locked="0"/>
    </xf>
    <xf numFmtId="14" fontId="0" fillId="33" borderId="10" xfId="42" applyNumberFormat="1" applyFont="1" applyFill="1" applyBorder="1" applyAlignment="1" applyProtection="1">
      <alignment horizontal="left" vertical="center" wrapText="1"/>
      <protection locked="0"/>
    </xf>
    <xf numFmtId="0" fontId="0" fillId="33" borderId="10" xfId="42" applyFont="1" applyFill="1" applyBorder="1" applyAlignment="1" applyProtection="1">
      <alignment horizontal="center" vertical="center" wrapText="1"/>
      <protection locked="0"/>
    </xf>
    <xf numFmtId="0" fontId="21" fillId="0" borderId="10" xfId="42" applyFont="1" applyBorder="1" applyAlignment="1" applyProtection="1">
      <alignment horizontal="left" vertical="top" wrapText="1"/>
      <protection locked="0"/>
    </xf>
    <xf numFmtId="0" fontId="22" fillId="0" borderId="10" xfId="0" applyFont="1" applyBorder="1" applyAlignment="1">
      <alignment wrapText="1"/>
    </xf>
    <xf numFmtId="0" fontId="26" fillId="0" borderId="10" xfId="42" applyFont="1" applyBorder="1" applyAlignment="1" applyProtection="1">
      <alignment horizontal="left" vertical="center" wrapText="1"/>
      <protection locked="0"/>
    </xf>
    <xf numFmtId="0" fontId="26" fillId="0" borderId="10" xfId="42" applyFont="1" applyBorder="1" applyAlignment="1" applyProtection="1">
      <alignment horizontal="left" vertical="top" wrapText="1"/>
      <protection locked="0"/>
    </xf>
    <xf numFmtId="0" fontId="22" fillId="0" borderId="10" xfId="0" applyFont="1" applyBorder="1" applyAlignment="1">
      <alignment horizontal="left" vertical="top" wrapText="1"/>
    </xf>
    <xf numFmtId="0" fontId="1" fillId="0" borderId="10" xfId="42" applyFont="1" applyBorder="1" applyAlignment="1" applyProtection="1">
      <alignment horizontal="left" vertical="top" wrapText="1"/>
      <protection locked="0"/>
    </xf>
    <xf numFmtId="0" fontId="26" fillId="0" borderId="10" xfId="42" applyFont="1" applyBorder="1" applyAlignment="1" applyProtection="1">
      <alignment horizontal="center" vertical="top" wrapText="1"/>
      <protection locked="0"/>
    </xf>
    <xf numFmtId="0" fontId="26" fillId="0" borderId="10" xfId="42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vertical="top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16" fillId="0" borderId="13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3" xfId="0" applyBorder="1"/>
    <xf numFmtId="0" fontId="21" fillId="0" borderId="10" xfId="42" applyFont="1" applyBorder="1" applyAlignment="1" applyProtection="1">
      <alignment vertical="top" wrapText="1"/>
      <protection locked="0"/>
    </xf>
    <xf numFmtId="0" fontId="26" fillId="0" borderId="10" xfId="42" applyFont="1" applyBorder="1" applyAlignment="1" applyProtection="1">
      <alignment vertical="center" wrapText="1"/>
      <protection locked="0"/>
    </xf>
    <xf numFmtId="0" fontId="21" fillId="0" borderId="10" xfId="0" applyFont="1" applyBorder="1" applyAlignment="1">
      <alignment vertical="top" wrapText="1"/>
    </xf>
    <xf numFmtId="0" fontId="21" fillId="0" borderId="10" xfId="42" applyFont="1" applyBorder="1" applyAlignment="1" applyProtection="1">
      <alignment horizontal="center" vertical="top" wrapText="1"/>
      <protection locked="0"/>
    </xf>
    <xf numFmtId="0" fontId="21" fillId="0" borderId="10" xfId="42" applyFont="1" applyBorder="1" applyAlignment="1" applyProtection="1">
      <alignment vertical="center" wrapText="1"/>
      <protection locked="0"/>
    </xf>
    <xf numFmtId="0" fontId="21" fillId="0" borderId="10" xfId="42" applyFont="1" applyBorder="1" applyAlignment="1" applyProtection="1">
      <alignment vertical="center"/>
      <protection locked="0"/>
    </xf>
    <xf numFmtId="0" fontId="21" fillId="0" borderId="10" xfId="0" applyFont="1" applyBorder="1"/>
    <xf numFmtId="0" fontId="21" fillId="0" borderId="10" xfId="0" applyFont="1" applyBorder="1" applyAlignment="1">
      <alignment horizontal="center" vertical="center" wrapText="1"/>
    </xf>
    <xf numFmtId="0" fontId="21" fillId="0" borderId="13" xfId="42" applyFont="1" applyBorder="1" applyAlignment="1" applyProtection="1">
      <alignment horizontal="center" vertical="top" wrapText="1"/>
      <protection locked="0"/>
    </xf>
    <xf numFmtId="0" fontId="0" fillId="0" borderId="12" xfId="0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4" fillId="33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 applyBorder="1"/>
    <xf numFmtId="0" fontId="0" fillId="0" borderId="10" xfId="0" applyBorder="1" applyAlignment="1">
      <alignment horizontal="center"/>
    </xf>
    <xf numFmtId="0" fontId="19" fillId="0" borderId="15" xfId="0" applyFont="1" applyBorder="1" applyAlignment="1"/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21" fillId="0" borderId="13" xfId="42" applyFont="1" applyBorder="1" applyAlignment="1" applyProtection="1">
      <alignment vertical="top" wrapText="1"/>
      <protection locked="0"/>
    </xf>
    <xf numFmtId="0" fontId="21" fillId="0" borderId="10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49" fontId="30" fillId="0" borderId="21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top"/>
    </xf>
    <xf numFmtId="0" fontId="21" fillId="0" borderId="21" xfId="42" applyFont="1" applyBorder="1" applyAlignment="1" applyProtection="1">
      <alignment vertical="top" wrapText="1"/>
      <protection locked="0"/>
    </xf>
    <xf numFmtId="49" fontId="30" fillId="0" borderId="10" xfId="0" applyNumberFormat="1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21" fillId="0" borderId="21" xfId="0" applyFont="1" applyBorder="1" applyAlignment="1">
      <alignment wrapText="1"/>
    </xf>
    <xf numFmtId="0" fontId="0" fillId="0" borderId="21" xfId="0" applyBorder="1"/>
    <xf numFmtId="0" fontId="30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top"/>
    </xf>
    <xf numFmtId="0" fontId="0" fillId="0" borderId="21" xfId="0" applyBorder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29" fillId="0" borderId="21" xfId="0" applyNumberFormat="1" applyFont="1" applyBorder="1" applyAlignment="1">
      <alignment horizontal="left" vertical="center" wrapText="1"/>
    </xf>
    <xf numFmtId="0" fontId="30" fillId="0" borderId="21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top"/>
    </xf>
    <xf numFmtId="49" fontId="30" fillId="0" borderId="22" xfId="0" applyNumberFormat="1" applyFont="1" applyBorder="1" applyAlignment="1">
      <alignment horizontal="left" vertical="center" wrapText="1"/>
    </xf>
    <xf numFmtId="49" fontId="29" fillId="0" borderId="10" xfId="0" applyNumberFormat="1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/>
    </xf>
    <xf numFmtId="0" fontId="28" fillId="0" borderId="23" xfId="0" applyFont="1" applyBorder="1" applyAlignment="1">
      <alignment horizontal="left" vertical="top"/>
    </xf>
    <xf numFmtId="0" fontId="0" fillId="0" borderId="16" xfId="0" applyBorder="1" applyAlignment="1">
      <alignment horizontal="center"/>
    </xf>
    <xf numFmtId="0" fontId="28" fillId="0" borderId="10" xfId="0" applyFont="1" applyBorder="1" applyAlignment="1">
      <alignment horizontal="left" vertical="top"/>
    </xf>
    <xf numFmtId="49" fontId="29" fillId="0" borderId="21" xfId="0" applyNumberFormat="1" applyFont="1" applyFill="1" applyBorder="1" applyAlignment="1">
      <alignment horizontal="left" vertical="center" wrapText="1"/>
    </xf>
    <xf numFmtId="49" fontId="29" fillId="0" borderId="23" xfId="0" applyNumberFormat="1" applyFont="1" applyFill="1" applyBorder="1" applyAlignment="1">
      <alignment horizontal="left" vertical="center" wrapText="1"/>
    </xf>
    <xf numFmtId="49" fontId="29" fillId="0" borderId="23" xfId="0" applyNumberFormat="1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9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9" fillId="0" borderId="21" xfId="0" applyFont="1" applyBorder="1" applyAlignment="1">
      <alignment horizontal="left" vertical="center" wrapText="1"/>
    </xf>
    <xf numFmtId="49" fontId="29" fillId="0" borderId="21" xfId="0" applyNumberFormat="1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top"/>
    </xf>
    <xf numFmtId="0" fontId="21" fillId="0" borderId="13" xfId="0" applyFont="1" applyBorder="1" applyAlignment="1">
      <alignment horizontal="center"/>
    </xf>
    <xf numFmtId="49" fontId="29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18" fillId="0" borderId="0" xfId="0" applyFont="1" applyBorder="1"/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vertical="center" wrapText="1"/>
    </xf>
    <xf numFmtId="0" fontId="27" fillId="0" borderId="16" xfId="0" applyFont="1" applyFill="1" applyBorder="1" applyAlignment="1">
      <alignment vertical="center" wrapText="1"/>
    </xf>
    <xf numFmtId="0" fontId="19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21" fillId="0" borderId="10" xfId="0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15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/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0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11" xfId="0" applyBorder="1"/>
    <xf numFmtId="0" fontId="16" fillId="0" borderId="1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selection activeCell="H24" sqref="H24"/>
    </sheetView>
  </sheetViews>
  <sheetFormatPr defaultColWidth="9.140625" defaultRowHeight="15"/>
  <cols>
    <col min="1" max="1" width="5.42578125" customWidth="1"/>
    <col min="2" max="2" width="17.140625" customWidth="1"/>
    <col min="3" max="3" width="11.28515625" customWidth="1"/>
    <col min="4" max="5" width="11" customWidth="1"/>
    <col min="6" max="6" width="9" customWidth="1"/>
    <col min="7" max="7" width="9.7109375" customWidth="1"/>
    <col min="8" max="8" width="10" customWidth="1"/>
    <col min="9" max="9" width="7" bestFit="1" customWidth="1"/>
    <col min="10" max="10" width="7.5703125" bestFit="1" customWidth="1"/>
    <col min="11" max="11" width="5.5703125" bestFit="1" customWidth="1"/>
    <col min="12" max="12" width="9.28515625" bestFit="1" customWidth="1"/>
    <col min="13" max="13" width="7.42578125" customWidth="1"/>
    <col min="14" max="14" width="7" bestFit="1" customWidth="1"/>
  </cols>
  <sheetData>
    <row r="1" spans="1:9" ht="19.5" customHeight="1">
      <c r="A1" s="177" t="s">
        <v>819</v>
      </c>
      <c r="B1" s="177"/>
      <c r="C1" s="177"/>
      <c r="D1" s="177"/>
      <c r="E1" s="177"/>
      <c r="F1" s="177"/>
      <c r="G1" s="177"/>
    </row>
    <row r="2" spans="1:9" ht="15.75">
      <c r="A2" s="178" t="s">
        <v>648</v>
      </c>
      <c r="B2" s="179"/>
      <c r="C2" s="179"/>
      <c r="D2" s="179"/>
      <c r="E2" s="179"/>
      <c r="F2" s="180"/>
      <c r="G2" s="183" t="s">
        <v>508</v>
      </c>
      <c r="H2" s="181" t="s">
        <v>15</v>
      </c>
    </row>
    <row r="3" spans="1:9" ht="31.9" customHeight="1">
      <c r="A3" s="7" t="s">
        <v>22</v>
      </c>
      <c r="B3" s="36" t="s">
        <v>23</v>
      </c>
      <c r="C3" s="38" t="s">
        <v>24</v>
      </c>
      <c r="D3" s="38" t="s">
        <v>26</v>
      </c>
      <c r="E3" s="38" t="s">
        <v>25</v>
      </c>
      <c r="F3" s="38" t="s">
        <v>27</v>
      </c>
      <c r="G3" s="184"/>
      <c r="H3" s="182"/>
    </row>
    <row r="4" spans="1:9" ht="15.75">
      <c r="A4" s="5">
        <v>1</v>
      </c>
      <c r="B4" s="4" t="s">
        <v>39</v>
      </c>
      <c r="C4" s="5">
        <f>GOVT.HOSPITALS!E198</f>
        <v>930</v>
      </c>
      <c r="D4" s="5">
        <f>GOVT.HOSPITALS!F198</f>
        <v>320</v>
      </c>
      <c r="E4" s="5">
        <f>GOVT.HOSPITALS!G198</f>
        <v>452.9999999999996</v>
      </c>
      <c r="F4" s="5">
        <f>GOVT.HOSPITALS!H198</f>
        <v>9.4600000000000453</v>
      </c>
      <c r="G4" s="5">
        <f>GOVT.HOSPITALS!I198</f>
        <v>0</v>
      </c>
      <c r="H4" s="5">
        <f>GOVT.HOSPITALS!J198</f>
        <v>1712.459999999998</v>
      </c>
    </row>
    <row r="5" spans="1:9" ht="15.75">
      <c r="A5" s="5">
        <v>2</v>
      </c>
      <c r="B5" s="37" t="s">
        <v>496</v>
      </c>
      <c r="C5" s="5">
        <f>Jewargi!F82</f>
        <v>218</v>
      </c>
      <c r="D5" s="5">
        <f>Jewargi!G82</f>
        <v>150</v>
      </c>
      <c r="E5" s="5">
        <f>Jewargi!H82</f>
        <v>137</v>
      </c>
      <c r="F5" s="5">
        <f>Jewargi!I82</f>
        <v>3.249999999999996</v>
      </c>
      <c r="G5" s="5">
        <f>Jewargi!J82</f>
        <v>75</v>
      </c>
      <c r="H5" s="5">
        <f>Jewargi!K82</f>
        <v>583.24999999999955</v>
      </c>
    </row>
    <row r="6" spans="1:9" ht="15.75">
      <c r="A6" s="5">
        <v>3</v>
      </c>
      <c r="B6" s="37" t="s">
        <v>497</v>
      </c>
      <c r="C6" s="5">
        <f>Sedam!F76</f>
        <v>241</v>
      </c>
      <c r="D6" s="5">
        <f>Sedam!G76</f>
        <v>128</v>
      </c>
      <c r="E6" s="5">
        <f>Sedam!H76</f>
        <v>159</v>
      </c>
      <c r="F6" s="5">
        <f>Sedam!I76</f>
        <v>1.9800000000000004</v>
      </c>
      <c r="G6" s="5">
        <f>Sedam!J76</f>
        <v>98</v>
      </c>
      <c r="H6" s="5">
        <f>Sedam!K76</f>
        <v>627.97999999999956</v>
      </c>
    </row>
    <row r="7" spans="1:9" ht="15.75">
      <c r="A7" s="5">
        <v>4</v>
      </c>
      <c r="B7" s="37" t="s">
        <v>498</v>
      </c>
      <c r="C7" s="5">
        <f>Chittapur!F86</f>
        <v>222</v>
      </c>
      <c r="D7" s="5">
        <f>Chittapur!G86</f>
        <v>117</v>
      </c>
      <c r="E7" s="5">
        <f>Chittapur!H86</f>
        <v>119</v>
      </c>
      <c r="F7" s="5">
        <f>Chittapur!I86</f>
        <v>1.5400000000000007</v>
      </c>
      <c r="G7" s="5">
        <f>Chittapur!J86</f>
        <v>53</v>
      </c>
      <c r="H7" s="5">
        <f>Chittapur!K86</f>
        <v>512.53999999999951</v>
      </c>
    </row>
    <row r="8" spans="1:9" ht="15.75">
      <c r="A8" s="5">
        <v>5</v>
      </c>
      <c r="B8" s="37" t="s">
        <v>499</v>
      </c>
      <c r="C8" s="5">
        <f>Kalaburagi!F354</f>
        <v>4908</v>
      </c>
      <c r="D8" s="5">
        <f>Kalaburagi!G354</f>
        <v>3109.0000000000009</v>
      </c>
      <c r="E8" s="5">
        <f>Kalaburagi!H354</f>
        <v>1105</v>
      </c>
      <c r="F8" s="5">
        <f>Kalaburagi!I354</f>
        <v>85.769999999999911</v>
      </c>
      <c r="G8" s="5">
        <f>Kalaburagi!J354</f>
        <v>730</v>
      </c>
      <c r="H8" s="5">
        <f>Kalaburagi!K354</f>
        <v>9937.7700000000423</v>
      </c>
    </row>
    <row r="9" spans="1:9" s="26" customFormat="1" ht="15.75">
      <c r="A9" s="30"/>
      <c r="B9" s="2" t="s">
        <v>0</v>
      </c>
      <c r="C9" s="30">
        <f>SUM(C4:C8)</f>
        <v>6519</v>
      </c>
      <c r="D9" s="30">
        <f t="shared" ref="D9:H9" si="0">SUM(D4:D8)</f>
        <v>3824.0000000000009</v>
      </c>
      <c r="E9" s="30">
        <f t="shared" si="0"/>
        <v>1972.9999999999995</v>
      </c>
      <c r="F9" s="30">
        <f t="shared" si="0"/>
        <v>101.99999999999996</v>
      </c>
      <c r="G9" s="30">
        <f t="shared" si="0"/>
        <v>956</v>
      </c>
      <c r="H9" s="30">
        <f t="shared" si="0"/>
        <v>13374.000000000038</v>
      </c>
    </row>
    <row r="10" spans="1:9" s="26" customFormat="1" ht="9" customHeight="1">
      <c r="A10" s="160"/>
      <c r="B10" s="79"/>
      <c r="C10" s="160"/>
      <c r="D10" s="160"/>
      <c r="E10" s="160"/>
      <c r="F10" s="160"/>
      <c r="G10" s="160"/>
      <c r="H10" s="160"/>
    </row>
    <row r="11" spans="1:9" ht="15.75">
      <c r="A11" s="185" t="s">
        <v>632</v>
      </c>
      <c r="B11" s="185"/>
      <c r="C11" s="185"/>
      <c r="D11" s="185"/>
      <c r="E11" s="185"/>
      <c r="F11" s="77">
        <f>G17</f>
        <v>772</v>
      </c>
      <c r="G11" s="81"/>
    </row>
    <row r="12" spans="1:9" ht="47.25">
      <c r="A12" s="24" t="s">
        <v>22</v>
      </c>
      <c r="B12" s="9" t="s">
        <v>23</v>
      </c>
      <c r="C12" s="38" t="s">
        <v>38</v>
      </c>
      <c r="D12" s="29" t="s">
        <v>35</v>
      </c>
      <c r="E12" s="141" t="s">
        <v>774</v>
      </c>
      <c r="F12" s="141" t="s">
        <v>36</v>
      </c>
      <c r="G12" s="29" t="s">
        <v>30</v>
      </c>
      <c r="H12" s="25"/>
      <c r="I12" s="25"/>
    </row>
    <row r="13" spans="1:9" ht="15.75">
      <c r="A13" s="11">
        <v>1</v>
      </c>
      <c r="B13" s="37" t="s">
        <v>496</v>
      </c>
      <c r="C13" s="5">
        <v>48</v>
      </c>
      <c r="D13" s="5">
        <f>Jewargi!D93</f>
        <v>77</v>
      </c>
      <c r="E13" s="5">
        <v>0</v>
      </c>
      <c r="F13" s="5">
        <v>2</v>
      </c>
      <c r="G13" s="5">
        <f>SUM(C13:F13)</f>
        <v>127</v>
      </c>
    </row>
    <row r="14" spans="1:9" ht="15.75">
      <c r="A14" s="11">
        <v>2</v>
      </c>
      <c r="B14" s="37" t="s">
        <v>497</v>
      </c>
      <c r="C14" s="5">
        <v>45</v>
      </c>
      <c r="D14" s="5">
        <f>Sedam!D87</f>
        <v>71</v>
      </c>
      <c r="E14" s="5">
        <v>0</v>
      </c>
      <c r="F14" s="5">
        <v>0</v>
      </c>
      <c r="G14" s="5">
        <f t="shared" ref="G14:G16" si="1">SUM(C14:F14)</f>
        <v>116</v>
      </c>
    </row>
    <row r="15" spans="1:9" ht="15.75">
      <c r="A15" s="11">
        <v>3</v>
      </c>
      <c r="B15" s="37" t="s">
        <v>498</v>
      </c>
      <c r="C15" s="5">
        <v>60</v>
      </c>
      <c r="D15" s="5">
        <f>Chittapur!D97</f>
        <v>81</v>
      </c>
      <c r="E15" s="5">
        <v>0</v>
      </c>
      <c r="F15" s="5">
        <v>0</v>
      </c>
      <c r="G15" s="5">
        <f t="shared" si="1"/>
        <v>141</v>
      </c>
      <c r="H15" s="26"/>
      <c r="I15" s="26"/>
    </row>
    <row r="16" spans="1:9" ht="15.75">
      <c r="A16" s="11">
        <v>4</v>
      </c>
      <c r="B16" s="37" t="s">
        <v>499</v>
      </c>
      <c r="C16" s="5">
        <v>39</v>
      </c>
      <c r="D16" s="5">
        <f>Kalaburagi!D365</f>
        <v>349</v>
      </c>
      <c r="E16" s="5">
        <v>0</v>
      </c>
      <c r="F16" s="5">
        <v>0</v>
      </c>
      <c r="G16" s="5">
        <f t="shared" si="1"/>
        <v>388</v>
      </c>
    </row>
    <row r="17" spans="1:14" ht="15.75">
      <c r="A17" s="5"/>
      <c r="B17" s="2" t="s">
        <v>0</v>
      </c>
      <c r="C17" s="30">
        <f>SUM(C13:C16)</f>
        <v>192</v>
      </c>
      <c r="D17" s="30">
        <f>SUM(D13:D16)</f>
        <v>578</v>
      </c>
      <c r="E17" s="30">
        <f>SUM(E13:E16)</f>
        <v>0</v>
      </c>
      <c r="F17" s="30">
        <f>SUM(F13:F16)</f>
        <v>2</v>
      </c>
      <c r="G17" s="30">
        <f>SUM(C17:F17)</f>
        <v>772</v>
      </c>
    </row>
    <row r="18" spans="1:14" ht="12" customHeight="1"/>
    <row r="19" spans="1:14" ht="12" customHeight="1"/>
    <row r="20" spans="1:14" ht="12" customHeight="1">
      <c r="A20" s="191" t="s">
        <v>827</v>
      </c>
      <c r="B20" s="191"/>
      <c r="C20" s="191"/>
      <c r="D20" s="191"/>
      <c r="E20" s="191"/>
      <c r="F20" s="191"/>
      <c r="G20" s="191"/>
      <c r="H20" s="191"/>
      <c r="I20" s="174">
        <v>771</v>
      </c>
      <c r="J20" s="174"/>
      <c r="K20" s="174"/>
      <c r="L20" s="142"/>
      <c r="M20" s="143"/>
    </row>
    <row r="21" spans="1:14" ht="30" customHeight="1">
      <c r="A21" s="144" t="s">
        <v>22</v>
      </c>
      <c r="B21" s="133" t="s">
        <v>23</v>
      </c>
      <c r="C21" s="186" t="s">
        <v>31</v>
      </c>
      <c r="D21" s="187"/>
      <c r="E21" s="188"/>
      <c r="F21" s="186" t="s">
        <v>780</v>
      </c>
      <c r="G21" s="187"/>
      <c r="H21" s="188"/>
      <c r="I21" s="186" t="s">
        <v>783</v>
      </c>
      <c r="J21" s="187"/>
      <c r="K21" s="187"/>
      <c r="L21" s="187"/>
      <c r="M21" s="188"/>
      <c r="N21" s="192" t="s">
        <v>777</v>
      </c>
    </row>
    <row r="22" spans="1:14" ht="57.75" customHeight="1">
      <c r="A22" s="130"/>
      <c r="B22" s="145"/>
      <c r="C22" s="135" t="s">
        <v>778</v>
      </c>
      <c r="D22" s="133" t="s">
        <v>774</v>
      </c>
      <c r="E22" s="157" t="s">
        <v>779</v>
      </c>
      <c r="F22" s="158" t="s">
        <v>512</v>
      </c>
      <c r="G22" s="155" t="s">
        <v>781</v>
      </c>
      <c r="H22" s="159" t="s">
        <v>36</v>
      </c>
      <c r="I22" s="156" t="s">
        <v>32</v>
      </c>
      <c r="J22" s="156" t="s">
        <v>775</v>
      </c>
      <c r="K22" s="155" t="s">
        <v>29</v>
      </c>
      <c r="L22" s="154" t="s">
        <v>33</v>
      </c>
      <c r="M22" s="155" t="s">
        <v>776</v>
      </c>
      <c r="N22" s="193"/>
    </row>
    <row r="23" spans="1:14" ht="12" customHeight="1">
      <c r="A23" s="146">
        <v>1</v>
      </c>
      <c r="B23" s="134" t="s">
        <v>496</v>
      </c>
      <c r="C23" s="148">
        <f>16</f>
        <v>16</v>
      </c>
      <c r="D23" s="148">
        <v>0</v>
      </c>
      <c r="E23" s="149">
        <f>Jewargi!D87</f>
        <v>13</v>
      </c>
      <c r="F23" s="148">
        <v>31</v>
      </c>
      <c r="G23" s="148">
        <f>1</f>
        <v>1</v>
      </c>
      <c r="H23" s="148">
        <v>2</v>
      </c>
      <c r="I23" s="149">
        <f>Jewargi!D88</f>
        <v>45</v>
      </c>
      <c r="J23" s="149">
        <f>Jewargi!D89</f>
        <v>5</v>
      </c>
      <c r="K23" s="149">
        <f>Jewargi!D92</f>
        <v>0</v>
      </c>
      <c r="L23" s="149">
        <f>Jewargi!D90</f>
        <v>13</v>
      </c>
      <c r="M23" s="149">
        <f>Jewargi!D91</f>
        <v>1</v>
      </c>
      <c r="N23" s="150">
        <f>SUM(C23:M23)</f>
        <v>127</v>
      </c>
    </row>
    <row r="24" spans="1:14" ht="12" customHeight="1">
      <c r="A24" s="146">
        <v>2</v>
      </c>
      <c r="B24" s="134" t="s">
        <v>497</v>
      </c>
      <c r="C24" s="148">
        <f>11</f>
        <v>11</v>
      </c>
      <c r="D24" s="148">
        <v>0</v>
      </c>
      <c r="E24" s="149">
        <f>Sedam!D81</f>
        <v>13</v>
      </c>
      <c r="F24" s="148">
        <v>33</v>
      </c>
      <c r="G24" s="148">
        <v>1</v>
      </c>
      <c r="H24" s="148"/>
      <c r="I24" s="149">
        <f>Sedam!D82</f>
        <v>48</v>
      </c>
      <c r="J24" s="149">
        <f>Sedam!D83</f>
        <v>4</v>
      </c>
      <c r="K24" s="149">
        <f>Sedam!D86</f>
        <v>0</v>
      </c>
      <c r="L24" s="149">
        <f>Sedam!D84</f>
        <v>6</v>
      </c>
      <c r="M24" s="149">
        <f>Sedam!D85</f>
        <v>0</v>
      </c>
      <c r="N24" s="150">
        <f>SUM(C24:M24)</f>
        <v>116</v>
      </c>
    </row>
    <row r="25" spans="1:14" ht="12" customHeight="1">
      <c r="A25" s="146">
        <v>3</v>
      </c>
      <c r="B25" s="134" t="s">
        <v>498</v>
      </c>
      <c r="C25" s="148">
        <f>20</f>
        <v>20</v>
      </c>
      <c r="D25" s="148">
        <v>0</v>
      </c>
      <c r="E25" s="149">
        <f>Chittapur!D91</f>
        <v>7</v>
      </c>
      <c r="F25" s="148">
        <v>37</v>
      </c>
      <c r="G25" s="148">
        <v>3</v>
      </c>
      <c r="H25" s="148"/>
      <c r="I25" s="149">
        <f>Chittapur!D92</f>
        <v>59</v>
      </c>
      <c r="J25" s="149">
        <f>Chittapur!D93</f>
        <v>6</v>
      </c>
      <c r="K25" s="149">
        <f>Chittapur!D96</f>
        <v>0</v>
      </c>
      <c r="L25" s="149">
        <f>Chittapur!D94</f>
        <v>9</v>
      </c>
      <c r="M25" s="149">
        <f>Chittapur!D95</f>
        <v>0</v>
      </c>
      <c r="N25" s="150">
        <f>SUM(C25:M25)</f>
        <v>141</v>
      </c>
    </row>
    <row r="26" spans="1:14" ht="12" customHeight="1">
      <c r="A26" s="146">
        <v>4</v>
      </c>
      <c r="B26" s="134" t="s">
        <v>499</v>
      </c>
      <c r="C26" s="148">
        <v>6</v>
      </c>
      <c r="D26" s="148">
        <v>0</v>
      </c>
      <c r="E26" s="149">
        <f>Kalaburagi!D359</f>
        <v>170</v>
      </c>
      <c r="F26" s="148">
        <v>26</v>
      </c>
      <c r="G26" s="148">
        <f>5+2</f>
        <v>7</v>
      </c>
      <c r="H26" s="148"/>
      <c r="I26" s="149">
        <f>Kalaburagi!D360</f>
        <v>98</v>
      </c>
      <c r="J26" s="149">
        <f>Kalaburagi!D361</f>
        <v>36</v>
      </c>
      <c r="K26" s="149">
        <f>Kalaburagi!D364</f>
        <v>3</v>
      </c>
      <c r="L26" s="149">
        <f>Kalaburagi!D362</f>
        <v>35</v>
      </c>
      <c r="M26" s="149">
        <f>Kalaburagi!D363</f>
        <v>7</v>
      </c>
      <c r="N26" s="150">
        <f>SUM(C26:M26)</f>
        <v>388</v>
      </c>
    </row>
    <row r="27" spans="1:14" ht="12" customHeight="1">
      <c r="A27" s="147"/>
      <c r="B27" s="145" t="s">
        <v>0</v>
      </c>
      <c r="C27" s="151">
        <f>SUM(C23:C26)</f>
        <v>53</v>
      </c>
      <c r="D27" s="151">
        <f t="shared" ref="D27:N27" si="2">SUM(D23:D26)</f>
        <v>0</v>
      </c>
      <c r="E27" s="151">
        <f t="shared" si="2"/>
        <v>203</v>
      </c>
      <c r="F27" s="151">
        <f t="shared" ref="F27" si="3">SUM(F23:F26)</f>
        <v>127</v>
      </c>
      <c r="G27" s="151">
        <f t="shared" si="2"/>
        <v>12</v>
      </c>
      <c r="H27" s="151">
        <f t="shared" si="2"/>
        <v>2</v>
      </c>
      <c r="I27" s="151">
        <f t="shared" si="2"/>
        <v>250</v>
      </c>
      <c r="J27" s="151">
        <f t="shared" si="2"/>
        <v>51</v>
      </c>
      <c r="K27" s="151">
        <f t="shared" si="2"/>
        <v>3</v>
      </c>
      <c r="L27" s="151">
        <f t="shared" si="2"/>
        <v>63</v>
      </c>
      <c r="M27" s="151">
        <f t="shared" si="2"/>
        <v>8</v>
      </c>
      <c r="N27" s="151">
        <f t="shared" si="2"/>
        <v>772</v>
      </c>
    </row>
    <row r="28" spans="1:14" ht="15.75">
      <c r="A28" s="3"/>
      <c r="B28" s="27"/>
      <c r="C28" s="31"/>
      <c r="D28" s="31"/>
      <c r="E28" s="31"/>
      <c r="F28" s="31"/>
      <c r="G28" s="31"/>
      <c r="H28" s="31"/>
      <c r="I28" s="28"/>
    </row>
    <row r="29" spans="1:14" ht="15.75">
      <c r="B29" s="176" t="s">
        <v>631</v>
      </c>
      <c r="C29" s="176"/>
      <c r="D29" s="81">
        <f>C33</f>
        <v>5588</v>
      </c>
    </row>
    <row r="30" spans="1:14" ht="15.75">
      <c r="B30" s="195" t="s">
        <v>34</v>
      </c>
      <c r="C30" s="196"/>
      <c r="D30" s="197"/>
      <c r="F30" s="175" t="s">
        <v>98</v>
      </c>
      <c r="G30" s="175"/>
      <c r="H30" s="175"/>
      <c r="I30" s="175"/>
      <c r="J30" s="175"/>
      <c r="K30" s="175"/>
      <c r="L30" s="175"/>
      <c r="M30" s="175"/>
    </row>
    <row r="31" spans="1:14" ht="15.75">
      <c r="B31" s="5" t="s">
        <v>28</v>
      </c>
      <c r="C31" s="189">
        <f>GOVT.HOSPITALS!C198</f>
        <v>804</v>
      </c>
      <c r="D31" s="190"/>
    </row>
    <row r="32" spans="1:14" ht="19.5" customHeight="1">
      <c r="B32" s="5" t="s">
        <v>35</v>
      </c>
      <c r="C32" s="189">
        <f>Jewargi!D82+Sedam!D76+Chittapur!D86+Kalaburagi!D354</f>
        <v>4784</v>
      </c>
      <c r="D32" s="190"/>
    </row>
    <row r="33" spans="2:8" ht="15.75">
      <c r="B33" s="36" t="s">
        <v>0</v>
      </c>
      <c r="C33" s="194">
        <f>SUM(C31:C32)</f>
        <v>5588</v>
      </c>
      <c r="D33" s="194"/>
    </row>
    <row r="37" spans="2:8" ht="15.75">
      <c r="E37" s="175"/>
      <c r="F37" s="175"/>
      <c r="G37" s="175"/>
      <c r="H37" s="175"/>
    </row>
  </sheetData>
  <mergeCells count="17">
    <mergeCell ref="N21:N22"/>
    <mergeCell ref="F30:M30"/>
    <mergeCell ref="C33:D33"/>
    <mergeCell ref="C32:D32"/>
    <mergeCell ref="B30:D30"/>
    <mergeCell ref="F21:H21"/>
    <mergeCell ref="I21:M21"/>
    <mergeCell ref="E37:H37"/>
    <mergeCell ref="B29:C29"/>
    <mergeCell ref="A1:G1"/>
    <mergeCell ref="A2:F2"/>
    <mergeCell ref="H2:H3"/>
    <mergeCell ref="G2:G3"/>
    <mergeCell ref="A11:E11"/>
    <mergeCell ref="C21:E21"/>
    <mergeCell ref="C31:D31"/>
    <mergeCell ref="A20:H20"/>
  </mergeCells>
  <pageMargins left="0.39370078740157483" right="0.19685039370078741" top="0.19685039370078741" bottom="0.19685039370078741" header="0.31496062992125984" footer="0.15748031496062992"/>
  <pageSetup paperSize="9" scale="9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9"/>
  <sheetViews>
    <sheetView topLeftCell="A176" workbookViewId="0">
      <selection activeCell="E199" sqref="E199"/>
    </sheetView>
  </sheetViews>
  <sheetFormatPr defaultRowHeight="15"/>
  <cols>
    <col min="1" max="1" width="6.5703125" customWidth="1"/>
    <col min="2" max="2" width="30" customWidth="1"/>
    <col min="3" max="3" width="8.85546875" style="13"/>
    <col min="4" max="4" width="25.5703125" customWidth="1"/>
    <col min="5" max="6" width="9.42578125" style="13" customWidth="1"/>
    <col min="7" max="7" width="10.28515625" style="13" customWidth="1"/>
    <col min="8" max="9" width="10.140625" style="13" customWidth="1"/>
    <col min="10" max="10" width="13.28515625" style="13" customWidth="1"/>
    <col min="11" max="11" width="9.140625" hidden="1" customWidth="1"/>
  </cols>
  <sheetData>
    <row r="1" spans="1:11" ht="17.25">
      <c r="A1" s="199" t="s">
        <v>820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>
      <c r="A2" s="202" t="s">
        <v>12</v>
      </c>
      <c r="B2" s="202" t="s">
        <v>13</v>
      </c>
      <c r="C2" s="202" t="s">
        <v>14</v>
      </c>
      <c r="D2" s="203"/>
      <c r="E2" s="203"/>
      <c r="F2" s="203"/>
      <c r="G2" s="203"/>
      <c r="H2" s="203"/>
      <c r="I2" s="206" t="s">
        <v>509</v>
      </c>
      <c r="J2" s="204" t="s">
        <v>15</v>
      </c>
      <c r="K2" s="205"/>
    </row>
    <row r="3" spans="1:11">
      <c r="A3" s="203"/>
      <c r="B3" s="202"/>
      <c r="C3" s="9" t="s">
        <v>3</v>
      </c>
      <c r="D3" s="9" t="s">
        <v>2</v>
      </c>
      <c r="E3" s="10" t="s">
        <v>16</v>
      </c>
      <c r="F3" s="10" t="s">
        <v>18</v>
      </c>
      <c r="G3" s="10" t="s">
        <v>17</v>
      </c>
      <c r="H3" s="10" t="s">
        <v>19</v>
      </c>
      <c r="I3" s="207"/>
      <c r="J3" s="198"/>
      <c r="K3" s="205"/>
    </row>
    <row r="4" spans="1:11" ht="15.75">
      <c r="A4" s="23">
        <v>1</v>
      </c>
      <c r="B4" s="5" t="s">
        <v>94</v>
      </c>
      <c r="C4" s="5">
        <v>100</v>
      </c>
      <c r="D4" s="5" t="s">
        <v>46</v>
      </c>
      <c r="E4" s="23">
        <v>65</v>
      </c>
      <c r="F4" s="23">
        <v>30</v>
      </c>
      <c r="G4" s="23">
        <v>29</v>
      </c>
      <c r="H4" s="23">
        <v>0.8</v>
      </c>
      <c r="I4" s="23"/>
      <c r="J4" s="23">
        <f>SUM(E4:I4)</f>
        <v>124.8</v>
      </c>
    </row>
    <row r="5" spans="1:11" ht="15.75">
      <c r="A5" s="11">
        <v>2</v>
      </c>
      <c r="B5" s="43" t="s">
        <v>95</v>
      </c>
      <c r="C5" s="5">
        <v>30</v>
      </c>
      <c r="D5" s="43" t="s">
        <v>47</v>
      </c>
      <c r="E5" s="11">
        <v>29</v>
      </c>
      <c r="F5" s="11">
        <v>6</v>
      </c>
      <c r="G5" s="11">
        <v>12</v>
      </c>
      <c r="H5" s="11">
        <v>0.4</v>
      </c>
      <c r="I5" s="76"/>
      <c r="J5" s="23">
        <f t="shared" ref="J5:J70" si="0">SUM(E5:I5)</f>
        <v>47.4</v>
      </c>
    </row>
    <row r="6" spans="1:11" ht="15.75">
      <c r="A6" s="23">
        <v>3</v>
      </c>
      <c r="B6" s="43" t="s">
        <v>95</v>
      </c>
      <c r="C6" s="5">
        <v>30</v>
      </c>
      <c r="D6" s="43" t="s">
        <v>48</v>
      </c>
      <c r="E6" s="11">
        <v>22</v>
      </c>
      <c r="F6" s="11">
        <v>10</v>
      </c>
      <c r="G6" s="11">
        <v>11</v>
      </c>
      <c r="H6" s="11">
        <v>0.3</v>
      </c>
      <c r="I6" s="76"/>
      <c r="J6" s="23">
        <f t="shared" si="0"/>
        <v>43.3</v>
      </c>
    </row>
    <row r="7" spans="1:11" ht="15.75">
      <c r="A7" s="23">
        <v>4</v>
      </c>
      <c r="B7" s="43" t="s">
        <v>95</v>
      </c>
      <c r="C7" s="5">
        <v>30</v>
      </c>
      <c r="D7" s="43" t="s">
        <v>49</v>
      </c>
      <c r="E7" s="11">
        <v>26</v>
      </c>
      <c r="F7" s="11">
        <v>8</v>
      </c>
      <c r="G7" s="11">
        <v>13</v>
      </c>
      <c r="H7" s="11">
        <v>0.5</v>
      </c>
      <c r="I7" s="76"/>
      <c r="J7" s="23">
        <f t="shared" si="0"/>
        <v>47.5</v>
      </c>
    </row>
    <row r="8" spans="1:11" ht="15.75">
      <c r="A8" s="161">
        <v>5</v>
      </c>
      <c r="B8" s="43" t="s">
        <v>95</v>
      </c>
      <c r="C8" s="5">
        <v>30</v>
      </c>
      <c r="D8" s="43" t="s">
        <v>50</v>
      </c>
      <c r="E8" s="11">
        <v>27</v>
      </c>
      <c r="F8" s="11">
        <v>10</v>
      </c>
      <c r="G8" s="11">
        <v>14</v>
      </c>
      <c r="H8" s="11">
        <v>0.6</v>
      </c>
      <c r="I8" s="76"/>
      <c r="J8" s="23">
        <f t="shared" si="0"/>
        <v>51.6</v>
      </c>
    </row>
    <row r="9" spans="1:11" ht="15.75">
      <c r="A9" s="23">
        <v>6</v>
      </c>
      <c r="B9" s="43" t="s">
        <v>95</v>
      </c>
      <c r="C9" s="5">
        <v>30</v>
      </c>
      <c r="D9" s="43" t="s">
        <v>51</v>
      </c>
      <c r="E9" s="11">
        <v>28</v>
      </c>
      <c r="F9" s="11">
        <v>5</v>
      </c>
      <c r="G9" s="11">
        <v>12</v>
      </c>
      <c r="H9" s="11">
        <v>0.5</v>
      </c>
      <c r="I9" s="76"/>
      <c r="J9" s="23">
        <f t="shared" si="0"/>
        <v>45.5</v>
      </c>
    </row>
    <row r="10" spans="1:11" ht="15.75">
      <c r="A10" s="23">
        <v>7</v>
      </c>
      <c r="B10" s="43" t="s">
        <v>96</v>
      </c>
      <c r="C10" s="5">
        <v>6</v>
      </c>
      <c r="D10" s="43" t="s">
        <v>52</v>
      </c>
      <c r="E10" s="11">
        <v>5</v>
      </c>
      <c r="F10" s="11">
        <v>2</v>
      </c>
      <c r="G10" s="11">
        <v>4</v>
      </c>
      <c r="H10" s="11">
        <v>0.01</v>
      </c>
      <c r="I10" s="76"/>
      <c r="J10" s="23">
        <f t="shared" si="0"/>
        <v>11.01</v>
      </c>
    </row>
    <row r="11" spans="1:11" ht="15.75">
      <c r="A11" s="161">
        <v>8</v>
      </c>
      <c r="B11" s="43" t="s">
        <v>96</v>
      </c>
      <c r="C11" s="5">
        <v>6</v>
      </c>
      <c r="D11" s="43" t="s">
        <v>53</v>
      </c>
      <c r="E11" s="11">
        <v>5</v>
      </c>
      <c r="F11" s="11">
        <v>3</v>
      </c>
      <c r="G11" s="11">
        <v>3</v>
      </c>
      <c r="H11" s="11">
        <v>0.01</v>
      </c>
      <c r="I11" s="76"/>
      <c r="J11" s="23">
        <f t="shared" si="0"/>
        <v>11.01</v>
      </c>
    </row>
    <row r="12" spans="1:11" ht="15.75">
      <c r="A12" s="23">
        <v>9</v>
      </c>
      <c r="B12" s="43" t="s">
        <v>96</v>
      </c>
      <c r="C12" s="5">
        <v>6</v>
      </c>
      <c r="D12" s="43" t="s">
        <v>54</v>
      </c>
      <c r="E12" s="11">
        <v>6</v>
      </c>
      <c r="F12" s="11">
        <v>2</v>
      </c>
      <c r="G12" s="11">
        <v>2</v>
      </c>
      <c r="H12" s="11">
        <v>0.01</v>
      </c>
      <c r="I12" s="76"/>
      <c r="J12" s="23">
        <f t="shared" si="0"/>
        <v>10.01</v>
      </c>
    </row>
    <row r="13" spans="1:11" ht="15.75">
      <c r="A13" s="23">
        <v>10</v>
      </c>
      <c r="B13" s="43" t="s">
        <v>96</v>
      </c>
      <c r="C13" s="5">
        <v>6</v>
      </c>
      <c r="D13" s="43" t="s">
        <v>55</v>
      </c>
      <c r="E13" s="11">
        <v>4</v>
      </c>
      <c r="F13" s="11">
        <v>1</v>
      </c>
      <c r="G13" s="11">
        <v>3</v>
      </c>
      <c r="H13" s="11">
        <v>0.01</v>
      </c>
      <c r="I13" s="76"/>
      <c r="J13" s="23">
        <f t="shared" si="0"/>
        <v>8.01</v>
      </c>
    </row>
    <row r="14" spans="1:11" ht="15.75">
      <c r="A14" s="161">
        <v>11</v>
      </c>
      <c r="B14" s="43" t="s">
        <v>96</v>
      </c>
      <c r="C14" s="5">
        <v>6</v>
      </c>
      <c r="D14" s="43" t="s">
        <v>56</v>
      </c>
      <c r="E14" s="11">
        <v>5</v>
      </c>
      <c r="F14" s="11">
        <v>2</v>
      </c>
      <c r="G14" s="11">
        <v>5</v>
      </c>
      <c r="H14" s="11">
        <v>0.01</v>
      </c>
      <c r="I14" s="76"/>
      <c r="J14" s="23">
        <f t="shared" si="0"/>
        <v>12.01</v>
      </c>
    </row>
    <row r="15" spans="1:11" ht="15.75">
      <c r="A15" s="23">
        <v>12</v>
      </c>
      <c r="B15" s="43" t="s">
        <v>96</v>
      </c>
      <c r="C15" s="5">
        <v>6</v>
      </c>
      <c r="D15" s="43" t="s">
        <v>57</v>
      </c>
      <c r="E15" s="11">
        <v>3</v>
      </c>
      <c r="F15" s="11">
        <v>2</v>
      </c>
      <c r="G15" s="11">
        <v>5</v>
      </c>
      <c r="H15" s="11">
        <v>0.01</v>
      </c>
      <c r="I15" s="76"/>
      <c r="J15" s="23">
        <f t="shared" si="0"/>
        <v>10.01</v>
      </c>
    </row>
    <row r="16" spans="1:11" ht="15.75">
      <c r="A16" s="23">
        <v>13</v>
      </c>
      <c r="B16" s="43" t="s">
        <v>96</v>
      </c>
      <c r="C16" s="5">
        <v>6</v>
      </c>
      <c r="D16" s="43" t="s">
        <v>58</v>
      </c>
      <c r="E16" s="11">
        <v>5</v>
      </c>
      <c r="F16" s="11">
        <v>1</v>
      </c>
      <c r="G16" s="11">
        <v>4</v>
      </c>
      <c r="H16" s="11">
        <v>0.01</v>
      </c>
      <c r="I16" s="76"/>
      <c r="J16" s="23">
        <f t="shared" si="0"/>
        <v>10.01</v>
      </c>
    </row>
    <row r="17" spans="1:10" ht="15.75">
      <c r="A17" s="161">
        <v>14</v>
      </c>
      <c r="B17" s="43" t="s">
        <v>96</v>
      </c>
      <c r="C17" s="5">
        <v>6</v>
      </c>
      <c r="D17" s="43" t="s">
        <v>59</v>
      </c>
      <c r="E17" s="11">
        <v>5</v>
      </c>
      <c r="F17" s="11">
        <v>2</v>
      </c>
      <c r="G17" s="11">
        <v>5</v>
      </c>
      <c r="H17" s="11">
        <v>0.01</v>
      </c>
      <c r="I17" s="76"/>
      <c r="J17" s="23">
        <f t="shared" si="0"/>
        <v>12.01</v>
      </c>
    </row>
    <row r="18" spans="1:10" ht="15.75">
      <c r="A18" s="23">
        <v>15</v>
      </c>
      <c r="B18" s="43" t="s">
        <v>96</v>
      </c>
      <c r="C18" s="5">
        <v>6</v>
      </c>
      <c r="D18" s="43" t="s">
        <v>60</v>
      </c>
      <c r="E18" s="11">
        <v>4</v>
      </c>
      <c r="F18" s="11">
        <v>3</v>
      </c>
      <c r="G18" s="11">
        <v>4</v>
      </c>
      <c r="H18" s="11">
        <v>0.01</v>
      </c>
      <c r="I18" s="76"/>
      <c r="J18" s="23">
        <f t="shared" si="0"/>
        <v>11.01</v>
      </c>
    </row>
    <row r="19" spans="1:10" ht="15.75">
      <c r="A19" s="23">
        <v>16</v>
      </c>
      <c r="B19" s="43" t="s">
        <v>96</v>
      </c>
      <c r="C19" s="5">
        <v>6</v>
      </c>
      <c r="D19" s="43" t="s">
        <v>61</v>
      </c>
      <c r="E19" s="11">
        <v>4</v>
      </c>
      <c r="F19" s="11">
        <v>3</v>
      </c>
      <c r="G19" s="11">
        <v>3</v>
      </c>
      <c r="H19" s="11">
        <v>0.01</v>
      </c>
      <c r="I19" s="76"/>
      <c r="J19" s="23">
        <f t="shared" si="0"/>
        <v>10.01</v>
      </c>
    </row>
    <row r="20" spans="1:10" ht="15.75">
      <c r="A20" s="161">
        <v>17</v>
      </c>
      <c r="B20" s="43" t="s">
        <v>96</v>
      </c>
      <c r="C20" s="5">
        <v>6</v>
      </c>
      <c r="D20" s="43" t="s">
        <v>62</v>
      </c>
      <c r="E20" s="11">
        <v>6</v>
      </c>
      <c r="F20" s="11">
        <v>2</v>
      </c>
      <c r="G20" s="11">
        <v>4</v>
      </c>
      <c r="H20" s="11">
        <v>0.01</v>
      </c>
      <c r="I20" s="76"/>
      <c r="J20" s="23">
        <f t="shared" si="0"/>
        <v>12.01</v>
      </c>
    </row>
    <row r="21" spans="1:10" ht="15.75">
      <c r="A21" s="23">
        <v>18</v>
      </c>
      <c r="B21" s="43" t="s">
        <v>96</v>
      </c>
      <c r="C21" s="5">
        <v>6</v>
      </c>
      <c r="D21" s="43" t="s">
        <v>63</v>
      </c>
      <c r="E21" s="11">
        <v>4</v>
      </c>
      <c r="F21" s="11">
        <v>3</v>
      </c>
      <c r="G21" s="11">
        <v>2</v>
      </c>
      <c r="H21" s="11">
        <v>0.01</v>
      </c>
      <c r="I21" s="76"/>
      <c r="J21" s="23">
        <f t="shared" si="0"/>
        <v>9.01</v>
      </c>
    </row>
    <row r="22" spans="1:10" ht="15.75">
      <c r="A22" s="23">
        <v>19</v>
      </c>
      <c r="B22" s="43" t="s">
        <v>96</v>
      </c>
      <c r="C22" s="5">
        <v>6</v>
      </c>
      <c r="D22" s="43" t="s">
        <v>64</v>
      </c>
      <c r="E22" s="11">
        <v>5</v>
      </c>
      <c r="F22" s="11">
        <v>1</v>
      </c>
      <c r="G22" s="11">
        <v>3</v>
      </c>
      <c r="H22" s="11">
        <v>0.01</v>
      </c>
      <c r="I22" s="76"/>
      <c r="J22" s="23">
        <f t="shared" si="0"/>
        <v>9.01</v>
      </c>
    </row>
    <row r="23" spans="1:10" ht="15.75">
      <c r="A23" s="161">
        <v>20</v>
      </c>
      <c r="B23" s="43" t="s">
        <v>96</v>
      </c>
      <c r="C23" s="5">
        <v>6</v>
      </c>
      <c r="D23" s="43" t="s">
        <v>65</v>
      </c>
      <c r="E23" s="11">
        <v>4</v>
      </c>
      <c r="F23" s="11">
        <v>1</v>
      </c>
      <c r="G23" s="11">
        <v>4</v>
      </c>
      <c r="H23" s="11">
        <v>0.01</v>
      </c>
      <c r="I23" s="76"/>
      <c r="J23" s="23">
        <f t="shared" si="0"/>
        <v>9.01</v>
      </c>
    </row>
    <row r="24" spans="1:10" ht="15.75">
      <c r="A24" s="23">
        <v>21</v>
      </c>
      <c r="B24" s="43" t="s">
        <v>97</v>
      </c>
      <c r="C24" s="5">
        <v>0</v>
      </c>
      <c r="D24" s="5" t="s">
        <v>46</v>
      </c>
      <c r="E24" s="11">
        <v>1</v>
      </c>
      <c r="F24" s="11">
        <v>2</v>
      </c>
      <c r="G24" s="11">
        <v>1</v>
      </c>
      <c r="H24" s="11">
        <v>0.01</v>
      </c>
      <c r="I24" s="76"/>
      <c r="J24" s="23">
        <f t="shared" si="0"/>
        <v>4.01</v>
      </c>
    </row>
    <row r="25" spans="1:10" ht="15.75">
      <c r="A25" s="23">
        <v>22</v>
      </c>
      <c r="B25" s="43" t="s">
        <v>97</v>
      </c>
      <c r="C25" s="11">
        <v>0</v>
      </c>
      <c r="D25" s="11" t="s">
        <v>51</v>
      </c>
      <c r="E25" s="11">
        <v>1</v>
      </c>
      <c r="F25" s="11">
        <v>1</v>
      </c>
      <c r="G25" s="11">
        <v>1</v>
      </c>
      <c r="H25" s="11">
        <v>0.01</v>
      </c>
      <c r="I25" s="76"/>
      <c r="J25" s="23">
        <f t="shared" si="0"/>
        <v>3.01</v>
      </c>
    </row>
    <row r="26" spans="1:10" ht="15.75">
      <c r="A26" s="161">
        <v>23</v>
      </c>
      <c r="B26" s="43" t="s">
        <v>97</v>
      </c>
      <c r="C26" s="11">
        <v>0</v>
      </c>
      <c r="D26" s="11" t="s">
        <v>50</v>
      </c>
      <c r="E26" s="11">
        <v>1</v>
      </c>
      <c r="F26" s="11">
        <v>1</v>
      </c>
      <c r="G26" s="11">
        <v>2</v>
      </c>
      <c r="H26" s="11">
        <v>0.01</v>
      </c>
      <c r="I26" s="76"/>
      <c r="J26" s="23">
        <f t="shared" si="0"/>
        <v>4.01</v>
      </c>
    </row>
    <row r="27" spans="1:10" ht="15.75">
      <c r="A27" s="23">
        <v>24</v>
      </c>
      <c r="B27" s="5" t="s">
        <v>94</v>
      </c>
      <c r="C27" s="5">
        <v>100</v>
      </c>
      <c r="D27" s="5" t="s">
        <v>66</v>
      </c>
      <c r="E27" s="11">
        <v>65</v>
      </c>
      <c r="F27" s="11">
        <v>25</v>
      </c>
      <c r="G27" s="11">
        <v>34</v>
      </c>
      <c r="H27" s="11">
        <v>0.9</v>
      </c>
      <c r="I27" s="76"/>
      <c r="J27" s="23">
        <f t="shared" si="0"/>
        <v>124.9</v>
      </c>
    </row>
    <row r="28" spans="1:10" ht="15.75">
      <c r="A28" s="23">
        <v>25</v>
      </c>
      <c r="B28" s="5" t="s">
        <v>784</v>
      </c>
      <c r="C28" s="5">
        <v>100</v>
      </c>
      <c r="D28" s="5" t="s">
        <v>66</v>
      </c>
      <c r="E28" s="152">
        <v>60</v>
      </c>
      <c r="F28" s="152">
        <v>22</v>
      </c>
      <c r="G28" s="152">
        <v>24</v>
      </c>
      <c r="H28" s="152">
        <v>0.9</v>
      </c>
      <c r="I28" s="152"/>
      <c r="J28" s="23">
        <f t="shared" ref="J28" si="1">SUM(E28:I28)</f>
        <v>106.9</v>
      </c>
    </row>
    <row r="29" spans="1:10" ht="15.75">
      <c r="A29" s="161">
        <v>26</v>
      </c>
      <c r="B29" s="43" t="s">
        <v>95</v>
      </c>
      <c r="C29" s="5">
        <v>30</v>
      </c>
      <c r="D29" s="43" t="s">
        <v>67</v>
      </c>
      <c r="E29" s="11">
        <v>28</v>
      </c>
      <c r="F29" s="11">
        <v>5</v>
      </c>
      <c r="G29" s="11">
        <v>14</v>
      </c>
      <c r="H29" s="11">
        <v>0.5</v>
      </c>
      <c r="I29" s="76"/>
      <c r="J29" s="23">
        <f t="shared" si="0"/>
        <v>47.5</v>
      </c>
    </row>
    <row r="30" spans="1:10" ht="15.75">
      <c r="A30" s="23">
        <v>27</v>
      </c>
      <c r="B30" s="43" t="s">
        <v>95</v>
      </c>
      <c r="C30" s="5">
        <v>30</v>
      </c>
      <c r="D30" s="43" t="s">
        <v>68</v>
      </c>
      <c r="E30" s="11">
        <v>31</v>
      </c>
      <c r="F30" s="11">
        <v>4</v>
      </c>
      <c r="G30" s="11">
        <v>13</v>
      </c>
      <c r="H30" s="11">
        <v>0.5</v>
      </c>
      <c r="I30" s="76"/>
      <c r="J30" s="23">
        <f t="shared" si="0"/>
        <v>48.5</v>
      </c>
    </row>
    <row r="31" spans="1:10" ht="15.75">
      <c r="A31" s="23">
        <v>28</v>
      </c>
      <c r="B31" s="43" t="s">
        <v>96</v>
      </c>
      <c r="C31" s="5">
        <v>6</v>
      </c>
      <c r="D31" s="43" t="s">
        <v>69</v>
      </c>
      <c r="E31" s="11">
        <v>5</v>
      </c>
      <c r="F31" s="11">
        <v>3</v>
      </c>
      <c r="G31" s="11">
        <v>3</v>
      </c>
      <c r="H31" s="11">
        <v>0.01</v>
      </c>
      <c r="I31" s="76"/>
      <c r="J31" s="23">
        <f t="shared" si="0"/>
        <v>11.01</v>
      </c>
    </row>
    <row r="32" spans="1:10" ht="15.75">
      <c r="A32" s="161">
        <v>29</v>
      </c>
      <c r="B32" s="43" t="s">
        <v>96</v>
      </c>
      <c r="C32" s="5">
        <v>6</v>
      </c>
      <c r="D32" s="43" t="s">
        <v>70</v>
      </c>
      <c r="E32" s="11">
        <v>4</v>
      </c>
      <c r="F32" s="11">
        <v>3</v>
      </c>
      <c r="G32" s="11">
        <v>1</v>
      </c>
      <c r="H32" s="11">
        <v>0.01</v>
      </c>
      <c r="I32" s="76"/>
      <c r="J32" s="23">
        <f t="shared" si="0"/>
        <v>8.01</v>
      </c>
    </row>
    <row r="33" spans="1:10" ht="15.75">
      <c r="A33" s="23">
        <v>30</v>
      </c>
      <c r="B33" s="43" t="s">
        <v>96</v>
      </c>
      <c r="C33" s="5">
        <v>6</v>
      </c>
      <c r="D33" s="43" t="s">
        <v>71</v>
      </c>
      <c r="E33" s="11">
        <v>4</v>
      </c>
      <c r="F33" s="11">
        <v>2</v>
      </c>
      <c r="G33" s="11">
        <v>3</v>
      </c>
      <c r="H33" s="11">
        <v>0.01</v>
      </c>
      <c r="I33" s="76"/>
      <c r="J33" s="23">
        <f t="shared" si="0"/>
        <v>9.01</v>
      </c>
    </row>
    <row r="34" spans="1:10" ht="15.75">
      <c r="A34" s="23">
        <v>31</v>
      </c>
      <c r="B34" s="43" t="s">
        <v>96</v>
      </c>
      <c r="C34" s="5">
        <v>6</v>
      </c>
      <c r="D34" s="43" t="s">
        <v>72</v>
      </c>
      <c r="E34" s="11">
        <v>3</v>
      </c>
      <c r="F34" s="11">
        <v>1</v>
      </c>
      <c r="G34" s="11">
        <v>3</v>
      </c>
      <c r="H34" s="11">
        <v>0.01</v>
      </c>
      <c r="I34" s="76"/>
      <c r="J34" s="23">
        <f t="shared" si="0"/>
        <v>7.01</v>
      </c>
    </row>
    <row r="35" spans="1:10" ht="15.75">
      <c r="A35" s="161">
        <v>32</v>
      </c>
      <c r="B35" s="43" t="s">
        <v>96</v>
      </c>
      <c r="C35" s="5">
        <v>6</v>
      </c>
      <c r="D35" s="43" t="s">
        <v>73</v>
      </c>
      <c r="E35" s="11">
        <v>3</v>
      </c>
      <c r="F35" s="11">
        <v>2</v>
      </c>
      <c r="G35" s="11">
        <v>2</v>
      </c>
      <c r="H35" s="11"/>
      <c r="I35" s="76"/>
      <c r="J35" s="23">
        <f t="shared" si="0"/>
        <v>7</v>
      </c>
    </row>
    <row r="36" spans="1:10" ht="15.75">
      <c r="A36" s="23">
        <v>33</v>
      </c>
      <c r="B36" s="43" t="s">
        <v>96</v>
      </c>
      <c r="C36" s="5">
        <v>6</v>
      </c>
      <c r="D36" s="43" t="s">
        <v>74</v>
      </c>
      <c r="E36" s="11">
        <v>5</v>
      </c>
      <c r="F36" s="11">
        <v>1</v>
      </c>
      <c r="G36" s="11">
        <v>3</v>
      </c>
      <c r="H36" s="11"/>
      <c r="I36" s="76"/>
      <c r="J36" s="23">
        <f t="shared" si="0"/>
        <v>9</v>
      </c>
    </row>
    <row r="37" spans="1:10" ht="15.75">
      <c r="A37" s="23">
        <v>34</v>
      </c>
      <c r="B37" s="43" t="s">
        <v>96</v>
      </c>
      <c r="C37" s="5">
        <v>6</v>
      </c>
      <c r="D37" s="43" t="s">
        <v>75</v>
      </c>
      <c r="E37" s="11">
        <v>4</v>
      </c>
      <c r="F37" s="11">
        <v>3</v>
      </c>
      <c r="G37" s="11">
        <v>4</v>
      </c>
      <c r="H37" s="11"/>
      <c r="I37" s="76"/>
      <c r="J37" s="23">
        <f t="shared" si="0"/>
        <v>11</v>
      </c>
    </row>
    <row r="38" spans="1:10" ht="15.75">
      <c r="A38" s="161">
        <v>35</v>
      </c>
      <c r="B38" s="43" t="s">
        <v>96</v>
      </c>
      <c r="C38" s="5">
        <v>6</v>
      </c>
      <c r="D38" s="43" t="s">
        <v>76</v>
      </c>
      <c r="E38" s="11">
        <v>5</v>
      </c>
      <c r="F38" s="11">
        <v>3</v>
      </c>
      <c r="G38" s="11">
        <v>3</v>
      </c>
      <c r="H38" s="11"/>
      <c r="I38" s="76"/>
      <c r="J38" s="23">
        <f t="shared" si="0"/>
        <v>11</v>
      </c>
    </row>
    <row r="39" spans="1:10" ht="15.75">
      <c r="A39" s="23">
        <v>36</v>
      </c>
      <c r="B39" s="43" t="s">
        <v>96</v>
      </c>
      <c r="C39" s="5">
        <v>6</v>
      </c>
      <c r="D39" s="43" t="s">
        <v>77</v>
      </c>
      <c r="E39" s="11">
        <v>4</v>
      </c>
      <c r="F39" s="11">
        <v>2</v>
      </c>
      <c r="G39" s="11">
        <v>4</v>
      </c>
      <c r="H39" s="11"/>
      <c r="I39" s="76"/>
      <c r="J39" s="23">
        <f t="shared" si="0"/>
        <v>10</v>
      </c>
    </row>
    <row r="40" spans="1:10" ht="15.75">
      <c r="A40" s="23">
        <v>37</v>
      </c>
      <c r="B40" s="43" t="s">
        <v>96</v>
      </c>
      <c r="C40" s="5">
        <v>6</v>
      </c>
      <c r="D40" s="43" t="s">
        <v>78</v>
      </c>
      <c r="E40" s="11">
        <v>5</v>
      </c>
      <c r="F40" s="11">
        <v>2</v>
      </c>
      <c r="G40" s="11">
        <v>4</v>
      </c>
      <c r="H40" s="11"/>
      <c r="I40" s="76"/>
      <c r="J40" s="23">
        <f t="shared" si="0"/>
        <v>11</v>
      </c>
    </row>
    <row r="41" spans="1:10" ht="15.75">
      <c r="A41" s="161">
        <v>38</v>
      </c>
      <c r="B41" s="43" t="s">
        <v>96</v>
      </c>
      <c r="C41" s="5">
        <v>6</v>
      </c>
      <c r="D41" s="43" t="s">
        <v>79</v>
      </c>
      <c r="E41" s="11">
        <v>4</v>
      </c>
      <c r="F41" s="11">
        <v>3</v>
      </c>
      <c r="G41" s="11">
        <v>3</v>
      </c>
      <c r="H41" s="11"/>
      <c r="I41" s="76"/>
      <c r="J41" s="23">
        <f t="shared" si="0"/>
        <v>10</v>
      </c>
    </row>
    <row r="42" spans="1:10" ht="15.75">
      <c r="A42" s="23">
        <v>39</v>
      </c>
      <c r="B42" s="43" t="s">
        <v>511</v>
      </c>
      <c r="C42" s="5">
        <v>0</v>
      </c>
      <c r="D42" s="5" t="s">
        <v>66</v>
      </c>
      <c r="E42" s="11">
        <v>1</v>
      </c>
      <c r="F42" s="11">
        <v>1</v>
      </c>
      <c r="G42" s="11">
        <v>1</v>
      </c>
      <c r="H42" s="11">
        <v>5.0000000000000001E-3</v>
      </c>
      <c r="I42" s="76"/>
      <c r="J42" s="23">
        <f>SUM(E42:I42)</f>
        <v>3.0049999999999999</v>
      </c>
    </row>
    <row r="43" spans="1:10" ht="15.75">
      <c r="A43" s="23">
        <v>40</v>
      </c>
      <c r="B43" s="43" t="s">
        <v>96</v>
      </c>
      <c r="C43" s="5">
        <v>6</v>
      </c>
      <c r="D43" s="43" t="s">
        <v>80</v>
      </c>
      <c r="E43" s="11">
        <v>5</v>
      </c>
      <c r="F43" s="11">
        <v>2</v>
      </c>
      <c r="G43" s="11">
        <v>2</v>
      </c>
      <c r="H43" s="11">
        <v>0.01</v>
      </c>
      <c r="I43" s="76"/>
      <c r="J43" s="23">
        <f t="shared" si="0"/>
        <v>9.01</v>
      </c>
    </row>
    <row r="44" spans="1:10" ht="15.75">
      <c r="A44" s="161">
        <v>41</v>
      </c>
      <c r="B44" s="5" t="s">
        <v>94</v>
      </c>
      <c r="C44" s="5">
        <v>100</v>
      </c>
      <c r="D44" s="5" t="s">
        <v>81</v>
      </c>
      <c r="E44" s="11">
        <v>95</v>
      </c>
      <c r="F44" s="11">
        <v>25</v>
      </c>
      <c r="G44" s="11">
        <v>42</v>
      </c>
      <c r="H44" s="11">
        <v>0.9</v>
      </c>
      <c r="I44" s="76"/>
      <c r="J44" s="23">
        <f t="shared" si="0"/>
        <v>162.9</v>
      </c>
    </row>
    <row r="45" spans="1:10" ht="15.75">
      <c r="A45" s="23">
        <v>42</v>
      </c>
      <c r="B45" s="43" t="s">
        <v>95</v>
      </c>
      <c r="C45" s="5">
        <v>30</v>
      </c>
      <c r="D45" s="43" t="s">
        <v>82</v>
      </c>
      <c r="E45" s="11">
        <v>31</v>
      </c>
      <c r="F45" s="11">
        <v>4</v>
      </c>
      <c r="G45" s="11">
        <v>12</v>
      </c>
      <c r="H45" s="11">
        <v>0.6</v>
      </c>
      <c r="I45" s="76"/>
      <c r="J45" s="23">
        <f t="shared" si="0"/>
        <v>47.6</v>
      </c>
    </row>
    <row r="46" spans="1:10" ht="15.75">
      <c r="A46" s="23">
        <v>43</v>
      </c>
      <c r="B46" s="43" t="s">
        <v>96</v>
      </c>
      <c r="C46" s="5">
        <v>30</v>
      </c>
      <c r="D46" s="43" t="s">
        <v>83</v>
      </c>
      <c r="E46" s="11">
        <v>23</v>
      </c>
      <c r="F46" s="11">
        <v>4</v>
      </c>
      <c r="G46" s="11">
        <v>10</v>
      </c>
      <c r="H46" s="11">
        <v>0.6</v>
      </c>
      <c r="I46" s="76"/>
      <c r="J46" s="23">
        <f t="shared" si="0"/>
        <v>37.6</v>
      </c>
    </row>
    <row r="47" spans="1:10" ht="15.75">
      <c r="A47" s="161">
        <v>44</v>
      </c>
      <c r="B47" s="43" t="s">
        <v>45</v>
      </c>
      <c r="C47" s="5">
        <v>6</v>
      </c>
      <c r="D47" s="43" t="s">
        <v>500</v>
      </c>
      <c r="E47" s="11">
        <v>6</v>
      </c>
      <c r="F47" s="11">
        <v>3</v>
      </c>
      <c r="G47" s="11">
        <v>4</v>
      </c>
      <c r="H47" s="11">
        <v>0.01</v>
      </c>
      <c r="I47" s="76"/>
      <c r="J47" s="23">
        <f t="shared" si="0"/>
        <v>13.01</v>
      </c>
    </row>
    <row r="48" spans="1:10" ht="15.75">
      <c r="A48" s="23">
        <v>45</v>
      </c>
      <c r="B48" s="43" t="s">
        <v>45</v>
      </c>
      <c r="C48" s="5">
        <v>6</v>
      </c>
      <c r="D48" s="43" t="s">
        <v>501</v>
      </c>
      <c r="E48" s="11">
        <v>5</v>
      </c>
      <c r="F48" s="11">
        <v>2</v>
      </c>
      <c r="G48" s="11">
        <v>5</v>
      </c>
      <c r="H48" s="11">
        <v>0.01</v>
      </c>
      <c r="I48" s="76"/>
      <c r="J48" s="23">
        <f t="shared" si="0"/>
        <v>12.01</v>
      </c>
    </row>
    <row r="49" spans="1:10" ht="15.75">
      <c r="A49" s="23">
        <v>46</v>
      </c>
      <c r="B49" s="43" t="s">
        <v>45</v>
      </c>
      <c r="C49" s="5">
        <v>6</v>
      </c>
      <c r="D49" s="43" t="s">
        <v>502</v>
      </c>
      <c r="E49" s="11">
        <v>6</v>
      </c>
      <c r="F49" s="11">
        <v>3</v>
      </c>
      <c r="G49" s="11">
        <v>4</v>
      </c>
      <c r="H49" s="11">
        <v>0.01</v>
      </c>
      <c r="I49" s="76"/>
      <c r="J49" s="23">
        <f t="shared" si="0"/>
        <v>13.01</v>
      </c>
    </row>
    <row r="50" spans="1:10" ht="15.75">
      <c r="A50" s="161">
        <v>47</v>
      </c>
      <c r="B50" s="43" t="s">
        <v>45</v>
      </c>
      <c r="C50" s="5">
        <v>6</v>
      </c>
      <c r="D50" s="43" t="s">
        <v>503</v>
      </c>
      <c r="E50" s="11">
        <v>7</v>
      </c>
      <c r="F50" s="11">
        <v>2</v>
      </c>
      <c r="G50" s="11">
        <v>5</v>
      </c>
      <c r="H50" s="82"/>
      <c r="I50" s="76"/>
      <c r="J50" s="23">
        <f t="shared" si="0"/>
        <v>14</v>
      </c>
    </row>
    <row r="51" spans="1:10" ht="15.75">
      <c r="A51" s="23">
        <v>48</v>
      </c>
      <c r="B51" s="43" t="s">
        <v>45</v>
      </c>
      <c r="C51" s="5">
        <v>6</v>
      </c>
      <c r="D51" s="43" t="s">
        <v>504</v>
      </c>
      <c r="E51" s="11">
        <v>6</v>
      </c>
      <c r="F51" s="11">
        <v>2</v>
      </c>
      <c r="G51" s="11">
        <v>5</v>
      </c>
      <c r="H51" s="11">
        <v>0.01</v>
      </c>
      <c r="I51" s="76"/>
      <c r="J51" s="23">
        <f t="shared" si="0"/>
        <v>13.01</v>
      </c>
    </row>
    <row r="52" spans="1:10" ht="15.75">
      <c r="A52" s="23">
        <v>49</v>
      </c>
      <c r="B52" s="43" t="s">
        <v>45</v>
      </c>
      <c r="C52" s="5">
        <v>6</v>
      </c>
      <c r="D52" s="43" t="s">
        <v>505</v>
      </c>
      <c r="E52" s="11">
        <v>5</v>
      </c>
      <c r="F52" s="11">
        <v>3</v>
      </c>
      <c r="G52" s="11">
        <v>4</v>
      </c>
      <c r="H52" s="11">
        <v>0.01</v>
      </c>
      <c r="I52" s="76"/>
      <c r="J52" s="23">
        <f t="shared" si="0"/>
        <v>12.01</v>
      </c>
    </row>
    <row r="53" spans="1:10" ht="15.75">
      <c r="A53" s="161">
        <v>50</v>
      </c>
      <c r="B53" s="43" t="s">
        <v>45</v>
      </c>
      <c r="C53" s="5">
        <v>6</v>
      </c>
      <c r="D53" s="43" t="s">
        <v>506</v>
      </c>
      <c r="E53" s="11">
        <v>6</v>
      </c>
      <c r="F53" s="11">
        <v>2</v>
      </c>
      <c r="G53" s="11">
        <v>5</v>
      </c>
      <c r="H53" s="11">
        <v>0.01</v>
      </c>
      <c r="I53" s="76"/>
      <c r="J53" s="23">
        <f t="shared" si="0"/>
        <v>13.01</v>
      </c>
    </row>
    <row r="54" spans="1:10" ht="15.75">
      <c r="A54" s="23">
        <v>51</v>
      </c>
      <c r="B54" s="43" t="s">
        <v>96</v>
      </c>
      <c r="C54" s="5">
        <v>6</v>
      </c>
      <c r="D54" s="43" t="s">
        <v>507</v>
      </c>
      <c r="E54" s="11">
        <v>5</v>
      </c>
      <c r="F54" s="11">
        <v>1</v>
      </c>
      <c r="G54" s="11">
        <v>4</v>
      </c>
      <c r="H54" s="11">
        <v>0.01</v>
      </c>
      <c r="I54" s="76"/>
      <c r="J54" s="23">
        <f t="shared" si="0"/>
        <v>10.01</v>
      </c>
    </row>
    <row r="55" spans="1:10" ht="15.75">
      <c r="A55" s="23">
        <v>52</v>
      </c>
      <c r="B55" s="43" t="s">
        <v>97</v>
      </c>
      <c r="C55" s="11">
        <v>0</v>
      </c>
      <c r="D55" s="11" t="s">
        <v>81</v>
      </c>
      <c r="E55" s="11">
        <v>1</v>
      </c>
      <c r="F55" s="11">
        <v>1</v>
      </c>
      <c r="G55" s="11">
        <v>1</v>
      </c>
      <c r="H55" s="11">
        <v>0.01</v>
      </c>
      <c r="I55" s="76"/>
      <c r="J55" s="23">
        <f t="shared" si="0"/>
        <v>3.01</v>
      </c>
    </row>
    <row r="56" spans="1:10" ht="15.75">
      <c r="A56" s="161">
        <v>53</v>
      </c>
      <c r="B56" s="43" t="s">
        <v>784</v>
      </c>
      <c r="C56" s="152">
        <v>100</v>
      </c>
      <c r="D56" s="152" t="s">
        <v>785</v>
      </c>
      <c r="E56" s="152">
        <v>60</v>
      </c>
      <c r="F56" s="152">
        <v>22</v>
      </c>
      <c r="G56" s="152">
        <v>24</v>
      </c>
      <c r="H56" s="152">
        <v>0.9</v>
      </c>
      <c r="I56" s="152"/>
      <c r="J56" s="23">
        <f t="shared" si="0"/>
        <v>106.9</v>
      </c>
    </row>
    <row r="57" spans="1:10" ht="15.75">
      <c r="A57" s="23">
        <v>54</v>
      </c>
      <c r="B57" s="43" t="s">
        <v>96</v>
      </c>
      <c r="C57" s="5">
        <v>6</v>
      </c>
      <c r="D57" s="43" t="s">
        <v>84</v>
      </c>
      <c r="E57" s="11">
        <v>20</v>
      </c>
      <c r="F57" s="11">
        <v>4</v>
      </c>
      <c r="G57" s="11">
        <v>3</v>
      </c>
      <c r="H57" s="11">
        <v>0.01</v>
      </c>
      <c r="I57" s="76"/>
      <c r="J57" s="23">
        <f t="shared" si="0"/>
        <v>27.01</v>
      </c>
    </row>
    <row r="58" spans="1:10" ht="15.75">
      <c r="A58" s="23">
        <v>55</v>
      </c>
      <c r="B58" s="43" t="s">
        <v>96</v>
      </c>
      <c r="C58" s="5">
        <v>6</v>
      </c>
      <c r="D58" s="43" t="s">
        <v>85</v>
      </c>
      <c r="E58" s="11">
        <v>6</v>
      </c>
      <c r="F58" s="11">
        <v>2</v>
      </c>
      <c r="G58" s="11">
        <v>3</v>
      </c>
      <c r="H58" s="11">
        <v>0.01</v>
      </c>
      <c r="I58" s="76"/>
      <c r="J58" s="23">
        <f t="shared" si="0"/>
        <v>11.01</v>
      </c>
    </row>
    <row r="59" spans="1:10" ht="15.75">
      <c r="A59" s="161">
        <v>56</v>
      </c>
      <c r="B59" s="43" t="s">
        <v>96</v>
      </c>
      <c r="C59" s="5">
        <v>6</v>
      </c>
      <c r="D59" s="43" t="s">
        <v>86</v>
      </c>
      <c r="E59" s="11">
        <v>5</v>
      </c>
      <c r="F59" s="11">
        <v>2</v>
      </c>
      <c r="G59" s="11">
        <v>4</v>
      </c>
      <c r="H59" s="11">
        <v>0.01</v>
      </c>
      <c r="I59" s="76"/>
      <c r="J59" s="23">
        <f t="shared" si="0"/>
        <v>11.01</v>
      </c>
    </row>
    <row r="60" spans="1:10" ht="15.75">
      <c r="A60" s="23">
        <v>57</v>
      </c>
      <c r="B60" s="43" t="s">
        <v>96</v>
      </c>
      <c r="C60" s="5">
        <v>6</v>
      </c>
      <c r="D60" s="43" t="s">
        <v>87</v>
      </c>
      <c r="E60" s="11">
        <v>4</v>
      </c>
      <c r="F60" s="11">
        <v>1</v>
      </c>
      <c r="G60" s="11">
        <v>4</v>
      </c>
      <c r="H60" s="11">
        <v>0.01</v>
      </c>
      <c r="I60" s="76"/>
      <c r="J60" s="23">
        <f t="shared" si="0"/>
        <v>9.01</v>
      </c>
    </row>
    <row r="61" spans="1:10" ht="15.75">
      <c r="A61" s="23">
        <v>58</v>
      </c>
      <c r="B61" s="43" t="s">
        <v>96</v>
      </c>
      <c r="C61" s="5">
        <v>6</v>
      </c>
      <c r="D61" s="43" t="s">
        <v>88</v>
      </c>
      <c r="E61" s="11">
        <v>4</v>
      </c>
      <c r="F61" s="11">
        <v>1</v>
      </c>
      <c r="G61" s="11">
        <v>3</v>
      </c>
      <c r="H61" s="11">
        <v>0.01</v>
      </c>
      <c r="I61" s="76"/>
      <c r="J61" s="23">
        <f t="shared" si="0"/>
        <v>8.01</v>
      </c>
    </row>
    <row r="62" spans="1:10" ht="15.75">
      <c r="A62" s="161">
        <v>59</v>
      </c>
      <c r="B62" s="43" t="s">
        <v>97</v>
      </c>
      <c r="C62" s="5">
        <v>0</v>
      </c>
      <c r="D62" s="5" t="s">
        <v>89</v>
      </c>
      <c r="E62" s="11">
        <v>5</v>
      </c>
      <c r="F62" s="11">
        <v>2</v>
      </c>
      <c r="G62" s="11">
        <v>3</v>
      </c>
      <c r="H62" s="11"/>
      <c r="I62" s="76"/>
      <c r="J62" s="23">
        <f t="shared" si="0"/>
        <v>10</v>
      </c>
    </row>
    <row r="63" spans="1:10" ht="15.75">
      <c r="A63" s="23">
        <v>60</v>
      </c>
      <c r="B63" s="43" t="s">
        <v>97</v>
      </c>
      <c r="C63" s="5">
        <v>0</v>
      </c>
      <c r="D63" s="5" t="s">
        <v>90</v>
      </c>
      <c r="E63" s="11">
        <v>4</v>
      </c>
      <c r="F63" s="11">
        <v>1</v>
      </c>
      <c r="G63" s="11">
        <v>3</v>
      </c>
      <c r="H63" s="11"/>
      <c r="I63" s="76"/>
      <c r="J63" s="23">
        <f t="shared" si="0"/>
        <v>8</v>
      </c>
    </row>
    <row r="64" spans="1:10" ht="15.75">
      <c r="A64" s="23">
        <v>61</v>
      </c>
      <c r="B64" s="43" t="s">
        <v>97</v>
      </c>
      <c r="C64" s="5">
        <v>0</v>
      </c>
      <c r="D64" s="5" t="s">
        <v>91</v>
      </c>
      <c r="E64" s="11">
        <v>5</v>
      </c>
      <c r="F64" s="11">
        <v>1</v>
      </c>
      <c r="G64" s="11">
        <v>2</v>
      </c>
      <c r="H64" s="11"/>
      <c r="I64" s="76"/>
      <c r="J64" s="23">
        <f t="shared" si="0"/>
        <v>8</v>
      </c>
    </row>
    <row r="65" spans="1:10" ht="15.75">
      <c r="A65" s="161">
        <v>62</v>
      </c>
      <c r="B65" s="43" t="s">
        <v>97</v>
      </c>
      <c r="C65" s="5">
        <v>0</v>
      </c>
      <c r="D65" s="5" t="s">
        <v>92</v>
      </c>
      <c r="E65" s="11">
        <v>4</v>
      </c>
      <c r="F65" s="11">
        <v>2</v>
      </c>
      <c r="G65" s="11">
        <v>3</v>
      </c>
      <c r="H65" s="11"/>
      <c r="I65" s="76"/>
      <c r="J65" s="23">
        <f t="shared" si="0"/>
        <v>9</v>
      </c>
    </row>
    <row r="66" spans="1:10" ht="15.75">
      <c r="A66" s="23">
        <v>63</v>
      </c>
      <c r="B66" s="43" t="s">
        <v>97</v>
      </c>
      <c r="C66" s="5">
        <v>0</v>
      </c>
      <c r="D66" s="5" t="s">
        <v>93</v>
      </c>
      <c r="E66" s="11">
        <v>8</v>
      </c>
      <c r="F66" s="11">
        <v>3</v>
      </c>
      <c r="G66" s="11">
        <v>3</v>
      </c>
      <c r="H66" s="11"/>
      <c r="I66" s="76"/>
      <c r="J66" s="23">
        <f t="shared" si="0"/>
        <v>14</v>
      </c>
    </row>
    <row r="67" spans="1:10" ht="15.75">
      <c r="A67" s="23">
        <v>64</v>
      </c>
      <c r="B67" s="43" t="s">
        <v>511</v>
      </c>
      <c r="C67" s="5">
        <v>0</v>
      </c>
      <c r="D67" s="5" t="s">
        <v>556</v>
      </c>
      <c r="E67" s="11">
        <v>1</v>
      </c>
      <c r="F67" s="11">
        <v>1</v>
      </c>
      <c r="G67" s="11">
        <v>1</v>
      </c>
      <c r="H67" s="11">
        <v>0.01</v>
      </c>
      <c r="I67" s="76"/>
      <c r="J67" s="23">
        <f t="shared" si="0"/>
        <v>3.01</v>
      </c>
    </row>
    <row r="68" spans="1:10" ht="15.75">
      <c r="A68" s="161">
        <v>65</v>
      </c>
      <c r="B68" s="43" t="s">
        <v>511</v>
      </c>
      <c r="C68" s="5">
        <v>0</v>
      </c>
      <c r="D68" s="5" t="s">
        <v>630</v>
      </c>
      <c r="E68" s="11">
        <v>1</v>
      </c>
      <c r="F68" s="11">
        <v>1</v>
      </c>
      <c r="G68" s="11">
        <v>2</v>
      </c>
      <c r="H68" s="11">
        <v>5.0000000000000001E-3</v>
      </c>
      <c r="I68" s="76"/>
      <c r="J68" s="23">
        <f t="shared" si="0"/>
        <v>4.0049999999999999</v>
      </c>
    </row>
    <row r="69" spans="1:10" ht="15.75">
      <c r="A69" s="23">
        <v>66</v>
      </c>
      <c r="B69" s="5" t="s">
        <v>512</v>
      </c>
      <c r="C69" s="11">
        <v>0</v>
      </c>
      <c r="D69" s="5" t="s">
        <v>513</v>
      </c>
      <c r="E69" s="11">
        <v>1</v>
      </c>
      <c r="F69" s="11">
        <v>0.5</v>
      </c>
      <c r="G69" s="11">
        <v>1</v>
      </c>
      <c r="H69" s="11">
        <v>5.0000000000000001E-3</v>
      </c>
      <c r="I69" s="76"/>
      <c r="J69" s="23">
        <f t="shared" si="0"/>
        <v>2.5049999999999999</v>
      </c>
    </row>
    <row r="70" spans="1:10" ht="15.75">
      <c r="A70" s="23">
        <v>67</v>
      </c>
      <c r="B70" s="5" t="s">
        <v>512</v>
      </c>
      <c r="C70" s="11">
        <v>0</v>
      </c>
      <c r="D70" s="5" t="s">
        <v>514</v>
      </c>
      <c r="E70" s="11">
        <v>0.5</v>
      </c>
      <c r="F70" s="11">
        <v>0.5</v>
      </c>
      <c r="G70" s="11">
        <v>0.2</v>
      </c>
      <c r="H70" s="11">
        <v>2E-3</v>
      </c>
      <c r="I70" s="76"/>
      <c r="J70" s="23">
        <f t="shared" si="0"/>
        <v>1.202</v>
      </c>
    </row>
    <row r="71" spans="1:10" ht="15.75">
      <c r="A71" s="161">
        <v>68</v>
      </c>
      <c r="B71" s="5" t="s">
        <v>512</v>
      </c>
      <c r="C71" s="11">
        <v>0</v>
      </c>
      <c r="D71" s="5" t="s">
        <v>515</v>
      </c>
      <c r="E71" s="11">
        <v>0.5</v>
      </c>
      <c r="F71" s="11">
        <v>0.5</v>
      </c>
      <c r="G71" s="11">
        <v>0.2</v>
      </c>
      <c r="H71" s="11">
        <v>2E-3</v>
      </c>
      <c r="I71" s="76"/>
      <c r="J71" s="23">
        <f t="shared" ref="J71:J134" si="2">SUM(E71:I71)</f>
        <v>1.202</v>
      </c>
    </row>
    <row r="72" spans="1:10" ht="15.75">
      <c r="A72" s="23">
        <v>69</v>
      </c>
      <c r="B72" s="5" t="s">
        <v>512</v>
      </c>
      <c r="C72" s="11">
        <v>0</v>
      </c>
      <c r="D72" s="5" t="s">
        <v>516</v>
      </c>
      <c r="E72" s="11">
        <v>1</v>
      </c>
      <c r="F72" s="11">
        <v>0.5</v>
      </c>
      <c r="G72" s="11">
        <v>0.2</v>
      </c>
      <c r="H72" s="11">
        <v>2E-3</v>
      </c>
      <c r="I72" s="76"/>
      <c r="J72" s="23">
        <f t="shared" si="2"/>
        <v>1.702</v>
      </c>
    </row>
    <row r="73" spans="1:10" ht="15.75">
      <c r="A73" s="23">
        <v>70</v>
      </c>
      <c r="B73" s="5" t="s">
        <v>512</v>
      </c>
      <c r="C73" s="11">
        <v>0</v>
      </c>
      <c r="D73" s="5" t="s">
        <v>517</v>
      </c>
      <c r="E73" s="11">
        <v>1</v>
      </c>
      <c r="F73" s="11">
        <v>0.5</v>
      </c>
      <c r="G73" s="11">
        <v>0.2</v>
      </c>
      <c r="H73" s="11">
        <v>2E-3</v>
      </c>
      <c r="I73" s="76"/>
      <c r="J73" s="23">
        <f t="shared" si="2"/>
        <v>1.702</v>
      </c>
    </row>
    <row r="74" spans="1:10" ht="15.75">
      <c r="A74" s="161">
        <v>71</v>
      </c>
      <c r="B74" s="5" t="s">
        <v>512</v>
      </c>
      <c r="C74" s="11">
        <v>0</v>
      </c>
      <c r="D74" s="5" t="s">
        <v>518</v>
      </c>
      <c r="E74" s="11">
        <v>1</v>
      </c>
      <c r="F74" s="11">
        <v>0.5</v>
      </c>
      <c r="G74" s="11">
        <v>0.5</v>
      </c>
      <c r="H74" s="11">
        <v>2E-3</v>
      </c>
      <c r="I74" s="76"/>
      <c r="J74" s="23">
        <f t="shared" si="2"/>
        <v>2.0019999999999998</v>
      </c>
    </row>
    <row r="75" spans="1:10" ht="15.75">
      <c r="A75" s="23">
        <v>72</v>
      </c>
      <c r="B75" s="5" t="s">
        <v>512</v>
      </c>
      <c r="C75" s="11">
        <v>0</v>
      </c>
      <c r="D75" s="5" t="s">
        <v>519</v>
      </c>
      <c r="E75" s="11">
        <v>0.5</v>
      </c>
      <c r="F75" s="11">
        <v>0.5</v>
      </c>
      <c r="G75" s="11">
        <v>0.5</v>
      </c>
      <c r="H75" s="11">
        <v>2E-3</v>
      </c>
      <c r="I75" s="76"/>
      <c r="J75" s="23">
        <f t="shared" si="2"/>
        <v>1.502</v>
      </c>
    </row>
    <row r="76" spans="1:10" ht="15.75">
      <c r="A76" s="23">
        <v>73</v>
      </c>
      <c r="B76" s="5" t="s">
        <v>512</v>
      </c>
      <c r="C76" s="11">
        <v>0</v>
      </c>
      <c r="D76" s="5" t="s">
        <v>520</v>
      </c>
      <c r="E76" s="11">
        <v>0.5</v>
      </c>
      <c r="F76" s="11">
        <v>0.5</v>
      </c>
      <c r="G76" s="11">
        <v>0.2</v>
      </c>
      <c r="H76" s="11">
        <v>5.0000000000000001E-3</v>
      </c>
      <c r="I76" s="76"/>
      <c r="J76" s="23">
        <f t="shared" si="2"/>
        <v>1.2049999999999998</v>
      </c>
    </row>
    <row r="77" spans="1:10" ht="15.75">
      <c r="A77" s="161">
        <v>74</v>
      </c>
      <c r="B77" s="5" t="s">
        <v>512</v>
      </c>
      <c r="C77" s="11">
        <v>0</v>
      </c>
      <c r="D77" s="5" t="s">
        <v>521</v>
      </c>
      <c r="E77" s="11">
        <v>1</v>
      </c>
      <c r="F77" s="11">
        <v>1</v>
      </c>
      <c r="G77" s="11">
        <v>0.2</v>
      </c>
      <c r="H77" s="11">
        <v>2E-3</v>
      </c>
      <c r="I77" s="76"/>
      <c r="J77" s="23">
        <f t="shared" si="2"/>
        <v>2.202</v>
      </c>
    </row>
    <row r="78" spans="1:10" ht="15.75">
      <c r="A78" s="23">
        <v>75</v>
      </c>
      <c r="B78" s="5" t="s">
        <v>512</v>
      </c>
      <c r="C78" s="11">
        <v>0</v>
      </c>
      <c r="D78" s="5" t="s">
        <v>522</v>
      </c>
      <c r="E78" s="11">
        <v>0.5</v>
      </c>
      <c r="F78" s="11">
        <v>0.5</v>
      </c>
      <c r="G78" s="11">
        <v>0.5</v>
      </c>
      <c r="H78" s="11">
        <v>2E-3</v>
      </c>
      <c r="I78" s="76"/>
      <c r="J78" s="23">
        <f t="shared" si="2"/>
        <v>1.502</v>
      </c>
    </row>
    <row r="79" spans="1:10" ht="15.75">
      <c r="A79" s="23">
        <v>76</v>
      </c>
      <c r="B79" s="5" t="s">
        <v>512</v>
      </c>
      <c r="C79" s="11">
        <v>0</v>
      </c>
      <c r="D79" s="5" t="s">
        <v>523</v>
      </c>
      <c r="E79" s="11">
        <v>1</v>
      </c>
      <c r="F79" s="11">
        <v>0.5</v>
      </c>
      <c r="G79" s="11">
        <v>0.5</v>
      </c>
      <c r="H79" s="11">
        <v>2E-3</v>
      </c>
      <c r="I79" s="76"/>
      <c r="J79" s="23">
        <f t="shared" si="2"/>
        <v>2.0019999999999998</v>
      </c>
    </row>
    <row r="80" spans="1:10" ht="15.75">
      <c r="A80" s="161">
        <v>77</v>
      </c>
      <c r="B80" s="5" t="s">
        <v>512</v>
      </c>
      <c r="C80" s="11">
        <v>0</v>
      </c>
      <c r="D80" s="5" t="s">
        <v>524</v>
      </c>
      <c r="E80" s="11">
        <v>1</v>
      </c>
      <c r="F80" s="11">
        <v>0.5</v>
      </c>
      <c r="G80" s="11">
        <v>0.2</v>
      </c>
      <c r="H80" s="11">
        <v>2E-3</v>
      </c>
      <c r="I80" s="76"/>
      <c r="J80" s="23">
        <f t="shared" si="2"/>
        <v>1.702</v>
      </c>
    </row>
    <row r="81" spans="1:10" ht="15.75">
      <c r="A81" s="23">
        <v>78</v>
      </c>
      <c r="B81" s="5" t="s">
        <v>512</v>
      </c>
      <c r="C81" s="11">
        <v>0</v>
      </c>
      <c r="D81" s="5" t="s">
        <v>525</v>
      </c>
      <c r="E81" s="11">
        <v>1</v>
      </c>
      <c r="F81" s="11">
        <v>0.5</v>
      </c>
      <c r="G81" s="11">
        <v>0.2</v>
      </c>
      <c r="H81" s="11">
        <v>2E-3</v>
      </c>
      <c r="I81" s="76"/>
      <c r="J81" s="23">
        <f t="shared" si="2"/>
        <v>1.702</v>
      </c>
    </row>
    <row r="82" spans="1:10" ht="15.75">
      <c r="A82" s="23">
        <v>79</v>
      </c>
      <c r="B82" s="5" t="s">
        <v>512</v>
      </c>
      <c r="C82" s="11">
        <v>0</v>
      </c>
      <c r="D82" s="5" t="s">
        <v>526</v>
      </c>
      <c r="E82" s="11">
        <v>1</v>
      </c>
      <c r="F82" s="11"/>
      <c r="G82" s="11"/>
      <c r="H82" s="11"/>
      <c r="I82" s="76"/>
      <c r="J82" s="23">
        <f t="shared" si="2"/>
        <v>1</v>
      </c>
    </row>
    <row r="83" spans="1:10" ht="15.75">
      <c r="A83" s="161">
        <v>80</v>
      </c>
      <c r="B83" s="5" t="s">
        <v>512</v>
      </c>
      <c r="C83" s="11">
        <v>0</v>
      </c>
      <c r="D83" s="5" t="s">
        <v>527</v>
      </c>
      <c r="E83" s="11">
        <v>1</v>
      </c>
      <c r="F83" s="11"/>
      <c r="G83" s="11"/>
      <c r="H83" s="11"/>
      <c r="I83" s="76"/>
      <c r="J83" s="23">
        <f t="shared" si="2"/>
        <v>1</v>
      </c>
    </row>
    <row r="84" spans="1:10" ht="15.75">
      <c r="A84" s="23">
        <v>81</v>
      </c>
      <c r="B84" s="5" t="s">
        <v>512</v>
      </c>
      <c r="C84" s="11">
        <v>0</v>
      </c>
      <c r="D84" s="5" t="s">
        <v>528</v>
      </c>
      <c r="E84" s="11">
        <v>1</v>
      </c>
      <c r="F84" s="11"/>
      <c r="G84" s="11"/>
      <c r="H84" s="11"/>
      <c r="I84" s="76"/>
      <c r="J84" s="23">
        <f t="shared" si="2"/>
        <v>1</v>
      </c>
    </row>
    <row r="85" spans="1:10" ht="15.75">
      <c r="A85" s="23">
        <v>82</v>
      </c>
      <c r="B85" s="5" t="s">
        <v>512</v>
      </c>
      <c r="C85" s="11">
        <v>0</v>
      </c>
      <c r="D85" s="5" t="s">
        <v>529</v>
      </c>
      <c r="E85" s="11">
        <v>1</v>
      </c>
      <c r="F85" s="11"/>
      <c r="G85" s="11"/>
      <c r="H85" s="11"/>
      <c r="I85" s="76"/>
      <c r="J85" s="23">
        <f t="shared" si="2"/>
        <v>1</v>
      </c>
    </row>
    <row r="86" spans="1:10" ht="15.75">
      <c r="A86" s="161">
        <v>83</v>
      </c>
      <c r="B86" s="5" t="s">
        <v>512</v>
      </c>
      <c r="C86" s="11">
        <v>0</v>
      </c>
      <c r="D86" s="5" t="s">
        <v>530</v>
      </c>
      <c r="E86" s="11">
        <v>0.5</v>
      </c>
      <c r="F86" s="11"/>
      <c r="G86" s="11"/>
      <c r="H86" s="11"/>
      <c r="I86" s="76"/>
      <c r="J86" s="23">
        <f t="shared" si="2"/>
        <v>0.5</v>
      </c>
    </row>
    <row r="87" spans="1:10" ht="15.75">
      <c r="A87" s="23">
        <v>84</v>
      </c>
      <c r="B87" s="5" t="s">
        <v>512</v>
      </c>
      <c r="C87" s="11">
        <v>0</v>
      </c>
      <c r="D87" s="5" t="s">
        <v>531</v>
      </c>
      <c r="E87" s="11">
        <v>1</v>
      </c>
      <c r="F87" s="11"/>
      <c r="G87" s="11"/>
      <c r="H87" s="11"/>
      <c r="I87" s="76"/>
      <c r="J87" s="23">
        <f t="shared" si="2"/>
        <v>1</v>
      </c>
    </row>
    <row r="88" spans="1:10" ht="15.75">
      <c r="A88" s="23">
        <v>85</v>
      </c>
      <c r="B88" s="5" t="s">
        <v>512</v>
      </c>
      <c r="C88" s="11">
        <v>0</v>
      </c>
      <c r="D88" s="5" t="s">
        <v>532</v>
      </c>
      <c r="E88" s="11">
        <v>1</v>
      </c>
      <c r="F88" s="11">
        <v>0.5</v>
      </c>
      <c r="G88" s="11">
        <v>0.5</v>
      </c>
      <c r="H88" s="11">
        <v>2E-3</v>
      </c>
      <c r="I88" s="76"/>
      <c r="J88" s="23">
        <f t="shared" si="2"/>
        <v>2.0019999999999998</v>
      </c>
    </row>
    <row r="89" spans="1:10" ht="15.75">
      <c r="A89" s="161">
        <v>86</v>
      </c>
      <c r="B89" s="5" t="s">
        <v>512</v>
      </c>
      <c r="C89" s="11">
        <v>0</v>
      </c>
      <c r="D89" s="5" t="s">
        <v>533</v>
      </c>
      <c r="E89" s="11">
        <v>0.5</v>
      </c>
      <c r="F89" s="11">
        <v>0.5</v>
      </c>
      <c r="G89" s="11">
        <v>0.5</v>
      </c>
      <c r="H89" s="11">
        <v>2E-3</v>
      </c>
      <c r="I89" s="76"/>
      <c r="J89" s="23">
        <f t="shared" si="2"/>
        <v>1.502</v>
      </c>
    </row>
    <row r="90" spans="1:10" ht="15.75">
      <c r="A90" s="23">
        <v>87</v>
      </c>
      <c r="B90" s="5" t="s">
        <v>512</v>
      </c>
      <c r="C90" s="11">
        <v>0</v>
      </c>
      <c r="D90" s="5" t="s">
        <v>534</v>
      </c>
      <c r="E90" s="11">
        <v>1</v>
      </c>
      <c r="F90" s="11">
        <v>0.5</v>
      </c>
      <c r="G90" s="11">
        <v>0.2</v>
      </c>
      <c r="H90" s="11">
        <v>2E-3</v>
      </c>
      <c r="I90" s="76"/>
      <c r="J90" s="23">
        <f t="shared" si="2"/>
        <v>1.702</v>
      </c>
    </row>
    <row r="91" spans="1:10" ht="15.75">
      <c r="A91" s="23">
        <v>88</v>
      </c>
      <c r="B91" s="5" t="s">
        <v>512</v>
      </c>
      <c r="C91" s="11">
        <v>0</v>
      </c>
      <c r="D91" s="5" t="s">
        <v>535</v>
      </c>
      <c r="E91" s="11">
        <v>1</v>
      </c>
      <c r="F91" s="11">
        <v>1</v>
      </c>
      <c r="G91" s="11">
        <v>0.2</v>
      </c>
      <c r="H91" s="11">
        <v>2E-3</v>
      </c>
      <c r="I91" s="76"/>
      <c r="J91" s="23">
        <f t="shared" si="2"/>
        <v>2.202</v>
      </c>
    </row>
    <row r="92" spans="1:10" ht="15.75">
      <c r="A92" s="161">
        <v>89</v>
      </c>
      <c r="B92" s="5" t="s">
        <v>512</v>
      </c>
      <c r="C92" s="11">
        <v>0</v>
      </c>
      <c r="D92" s="5" t="s">
        <v>536</v>
      </c>
      <c r="E92" s="11">
        <v>1</v>
      </c>
      <c r="F92" s="11">
        <v>0.5</v>
      </c>
      <c r="G92" s="11">
        <v>0.2</v>
      </c>
      <c r="H92" s="11">
        <v>2E-3</v>
      </c>
      <c r="I92" s="76"/>
      <c r="J92" s="23">
        <f t="shared" si="2"/>
        <v>1.702</v>
      </c>
    </row>
    <row r="93" spans="1:10" ht="15.75">
      <c r="A93" s="23">
        <v>90</v>
      </c>
      <c r="B93" s="5" t="s">
        <v>512</v>
      </c>
      <c r="C93" s="11">
        <v>0</v>
      </c>
      <c r="D93" s="5" t="s">
        <v>537</v>
      </c>
      <c r="E93" s="11">
        <v>0.5</v>
      </c>
      <c r="F93" s="11">
        <v>0.5</v>
      </c>
      <c r="G93" s="11">
        <v>0.2</v>
      </c>
      <c r="H93" s="11">
        <v>2E-3</v>
      </c>
      <c r="I93" s="76"/>
      <c r="J93" s="23">
        <f t="shared" si="2"/>
        <v>1.202</v>
      </c>
    </row>
    <row r="94" spans="1:10" ht="15.75">
      <c r="A94" s="23">
        <v>91</v>
      </c>
      <c r="B94" s="5" t="s">
        <v>512</v>
      </c>
      <c r="C94" s="11">
        <v>0</v>
      </c>
      <c r="D94" s="5" t="s">
        <v>538</v>
      </c>
      <c r="E94" s="11">
        <v>1</v>
      </c>
      <c r="F94" s="11">
        <v>0.5</v>
      </c>
      <c r="G94" s="11">
        <v>0.5</v>
      </c>
      <c r="H94" s="11">
        <v>2E-3</v>
      </c>
      <c r="I94" s="76"/>
      <c r="J94" s="23">
        <f t="shared" si="2"/>
        <v>2.0019999999999998</v>
      </c>
    </row>
    <row r="95" spans="1:10" ht="15.75">
      <c r="A95" s="161">
        <v>92</v>
      </c>
      <c r="B95" s="5" t="s">
        <v>512</v>
      </c>
      <c r="C95" s="11">
        <v>0</v>
      </c>
      <c r="D95" s="5" t="s">
        <v>539</v>
      </c>
      <c r="E95" s="11">
        <v>0.5</v>
      </c>
      <c r="F95" s="11">
        <v>0.5</v>
      </c>
      <c r="G95" s="11">
        <v>0.5</v>
      </c>
      <c r="H95" s="11">
        <v>2E-3</v>
      </c>
      <c r="I95" s="76"/>
      <c r="J95" s="23">
        <f t="shared" si="2"/>
        <v>1.502</v>
      </c>
    </row>
    <row r="96" spans="1:10" ht="15.75">
      <c r="A96" s="23">
        <v>93</v>
      </c>
      <c r="B96" s="5" t="s">
        <v>512</v>
      </c>
      <c r="C96" s="11">
        <v>0</v>
      </c>
      <c r="D96" s="5" t="s">
        <v>540</v>
      </c>
      <c r="E96" s="11">
        <v>0.5</v>
      </c>
      <c r="F96" s="11">
        <v>0.5</v>
      </c>
      <c r="G96" s="11">
        <v>0.5</v>
      </c>
      <c r="H96" s="11">
        <v>2E-3</v>
      </c>
      <c r="I96" s="76"/>
      <c r="J96" s="23">
        <f t="shared" si="2"/>
        <v>1.502</v>
      </c>
    </row>
    <row r="97" spans="1:10" ht="15.75">
      <c r="A97" s="23">
        <v>94</v>
      </c>
      <c r="B97" s="5" t="s">
        <v>512</v>
      </c>
      <c r="C97" s="11">
        <v>0</v>
      </c>
      <c r="D97" s="5" t="s">
        <v>541</v>
      </c>
      <c r="E97" s="11">
        <v>1</v>
      </c>
      <c r="F97" s="11">
        <v>0.5</v>
      </c>
      <c r="G97" s="11">
        <v>0.5</v>
      </c>
      <c r="H97" s="11">
        <v>2E-3</v>
      </c>
      <c r="I97" s="76"/>
      <c r="J97" s="23">
        <f t="shared" si="2"/>
        <v>2.0019999999999998</v>
      </c>
    </row>
    <row r="98" spans="1:10" ht="15.75">
      <c r="A98" s="161">
        <v>95</v>
      </c>
      <c r="B98" s="5" t="s">
        <v>512</v>
      </c>
      <c r="C98" s="11">
        <v>0</v>
      </c>
      <c r="D98" s="5" t="s">
        <v>542</v>
      </c>
      <c r="E98" s="11">
        <v>0.5</v>
      </c>
      <c r="F98" s="11">
        <v>0.5</v>
      </c>
      <c r="G98" s="11">
        <v>0.5</v>
      </c>
      <c r="H98" s="11">
        <v>2E-3</v>
      </c>
      <c r="I98" s="76"/>
      <c r="J98" s="23">
        <f t="shared" si="2"/>
        <v>1.502</v>
      </c>
    </row>
    <row r="99" spans="1:10" ht="15.75">
      <c r="A99" s="23">
        <v>96</v>
      </c>
      <c r="B99" s="5" t="s">
        <v>512</v>
      </c>
      <c r="C99" s="11">
        <v>0</v>
      </c>
      <c r="D99" s="5" t="s">
        <v>543</v>
      </c>
      <c r="E99" s="11">
        <v>0.5</v>
      </c>
      <c r="F99" s="11">
        <v>0.5</v>
      </c>
      <c r="G99" s="11">
        <v>0.5</v>
      </c>
      <c r="H99" s="11">
        <v>2E-3</v>
      </c>
      <c r="I99" s="76"/>
      <c r="J99" s="23">
        <f t="shared" si="2"/>
        <v>1.502</v>
      </c>
    </row>
    <row r="100" spans="1:10" ht="15.75">
      <c r="A100" s="23">
        <v>97</v>
      </c>
      <c r="B100" s="5" t="s">
        <v>512</v>
      </c>
      <c r="C100" s="11">
        <v>0</v>
      </c>
      <c r="D100" s="5" t="s">
        <v>544</v>
      </c>
      <c r="E100" s="11">
        <v>1</v>
      </c>
      <c r="F100" s="11">
        <v>0.5</v>
      </c>
      <c r="G100" s="11">
        <v>0.5</v>
      </c>
      <c r="H100" s="11">
        <v>2E-3</v>
      </c>
      <c r="I100" s="76"/>
      <c r="J100" s="23">
        <f t="shared" si="2"/>
        <v>2.0019999999999998</v>
      </c>
    </row>
    <row r="101" spans="1:10" ht="15.75">
      <c r="A101" s="161">
        <v>98</v>
      </c>
      <c r="B101" s="5" t="s">
        <v>512</v>
      </c>
      <c r="C101" s="11">
        <v>0</v>
      </c>
      <c r="D101" s="5" t="s">
        <v>545</v>
      </c>
      <c r="E101" s="11">
        <v>1</v>
      </c>
      <c r="F101" s="11">
        <v>0.5</v>
      </c>
      <c r="G101" s="11">
        <v>0.5</v>
      </c>
      <c r="H101" s="11">
        <v>2E-3</v>
      </c>
      <c r="I101" s="76"/>
      <c r="J101" s="23">
        <f t="shared" si="2"/>
        <v>2.0019999999999998</v>
      </c>
    </row>
    <row r="102" spans="1:10" ht="15.75">
      <c r="A102" s="23">
        <v>99</v>
      </c>
      <c r="B102" s="5" t="s">
        <v>512</v>
      </c>
      <c r="C102" s="11">
        <v>0</v>
      </c>
      <c r="D102" s="5" t="s">
        <v>546</v>
      </c>
      <c r="E102" s="11">
        <v>0.5</v>
      </c>
      <c r="F102" s="11">
        <v>0.5</v>
      </c>
      <c r="G102" s="11">
        <v>0.2</v>
      </c>
      <c r="H102" s="11">
        <v>2E-3</v>
      </c>
      <c r="I102" s="76"/>
      <c r="J102" s="23">
        <f t="shared" si="2"/>
        <v>1.202</v>
      </c>
    </row>
    <row r="103" spans="1:10" ht="15.75">
      <c r="A103" s="23">
        <v>100</v>
      </c>
      <c r="B103" s="5" t="s">
        <v>512</v>
      </c>
      <c r="C103" s="11">
        <v>0</v>
      </c>
      <c r="D103" s="5" t="s">
        <v>547</v>
      </c>
      <c r="E103" s="11">
        <v>1</v>
      </c>
      <c r="F103" s="11">
        <v>0.5</v>
      </c>
      <c r="G103" s="11">
        <v>0.2</v>
      </c>
      <c r="H103" s="11">
        <v>2E-3</v>
      </c>
      <c r="I103" s="76"/>
      <c r="J103" s="23">
        <f t="shared" si="2"/>
        <v>1.702</v>
      </c>
    </row>
    <row r="104" spans="1:10" ht="15.75">
      <c r="A104" s="161">
        <v>101</v>
      </c>
      <c r="B104" s="5" t="s">
        <v>512</v>
      </c>
      <c r="C104" s="11">
        <v>0</v>
      </c>
      <c r="D104" s="5" t="s">
        <v>548</v>
      </c>
      <c r="E104" s="11">
        <v>1</v>
      </c>
      <c r="F104" s="11">
        <v>0.5</v>
      </c>
      <c r="G104" s="11">
        <v>0.2</v>
      </c>
      <c r="H104" s="11">
        <v>2E-3</v>
      </c>
      <c r="I104" s="76"/>
      <c r="J104" s="23">
        <f t="shared" si="2"/>
        <v>1.702</v>
      </c>
    </row>
    <row r="105" spans="1:10" ht="15.75">
      <c r="A105" s="23">
        <v>102</v>
      </c>
      <c r="B105" s="5" t="s">
        <v>512</v>
      </c>
      <c r="C105" s="11">
        <v>0</v>
      </c>
      <c r="D105" s="5" t="s">
        <v>48</v>
      </c>
      <c r="E105" s="11">
        <v>1</v>
      </c>
      <c r="F105" s="11">
        <v>0.5</v>
      </c>
      <c r="G105" s="11">
        <v>0.2</v>
      </c>
      <c r="H105" s="11">
        <v>5.0000000000000001E-3</v>
      </c>
      <c r="I105" s="76"/>
      <c r="J105" s="23">
        <f t="shared" si="2"/>
        <v>1.7049999999999998</v>
      </c>
    </row>
    <row r="106" spans="1:10" ht="15.75">
      <c r="A106" s="23">
        <v>103</v>
      </c>
      <c r="B106" s="5" t="s">
        <v>512</v>
      </c>
      <c r="C106" s="11">
        <v>0</v>
      </c>
      <c r="D106" s="5" t="s">
        <v>549</v>
      </c>
      <c r="E106" s="11">
        <v>1</v>
      </c>
      <c r="F106" s="11"/>
      <c r="G106" s="11"/>
      <c r="H106" s="11"/>
      <c r="I106" s="76"/>
      <c r="J106" s="23">
        <f t="shared" si="2"/>
        <v>1</v>
      </c>
    </row>
    <row r="107" spans="1:10" ht="15.75">
      <c r="A107" s="161">
        <v>104</v>
      </c>
      <c r="B107" s="5" t="s">
        <v>512</v>
      </c>
      <c r="C107" s="11">
        <v>0</v>
      </c>
      <c r="D107" s="5" t="s">
        <v>550</v>
      </c>
      <c r="E107" s="11">
        <v>0.5</v>
      </c>
      <c r="F107" s="11"/>
      <c r="G107" s="11"/>
      <c r="H107" s="11"/>
      <c r="I107" s="76"/>
      <c r="J107" s="23">
        <f t="shared" si="2"/>
        <v>0.5</v>
      </c>
    </row>
    <row r="108" spans="1:10" ht="15.75">
      <c r="A108" s="23">
        <v>105</v>
      </c>
      <c r="B108" s="5" t="s">
        <v>512</v>
      </c>
      <c r="C108" s="11">
        <v>0</v>
      </c>
      <c r="D108" s="5" t="s">
        <v>551</v>
      </c>
      <c r="E108" s="11">
        <v>1</v>
      </c>
      <c r="F108" s="11"/>
      <c r="G108" s="11"/>
      <c r="H108" s="11"/>
      <c r="I108" s="76"/>
      <c r="J108" s="23">
        <f t="shared" si="2"/>
        <v>1</v>
      </c>
    </row>
    <row r="109" spans="1:10" ht="15.75">
      <c r="A109" s="23">
        <v>106</v>
      </c>
      <c r="B109" s="5" t="s">
        <v>512</v>
      </c>
      <c r="C109" s="11">
        <v>0</v>
      </c>
      <c r="D109" s="5" t="s">
        <v>552</v>
      </c>
      <c r="E109" s="11">
        <v>1</v>
      </c>
      <c r="F109" s="11"/>
      <c r="G109" s="11"/>
      <c r="H109" s="11"/>
      <c r="I109" s="76"/>
      <c r="J109" s="23">
        <f t="shared" si="2"/>
        <v>1</v>
      </c>
    </row>
    <row r="110" spans="1:10" ht="15.75">
      <c r="A110" s="161">
        <v>107</v>
      </c>
      <c r="B110" s="5" t="s">
        <v>512</v>
      </c>
      <c r="C110" s="11">
        <v>0</v>
      </c>
      <c r="D110" s="5" t="s">
        <v>553</v>
      </c>
      <c r="E110" s="11">
        <v>0.5</v>
      </c>
      <c r="F110" s="11"/>
      <c r="G110" s="11"/>
      <c r="H110" s="11"/>
      <c r="I110" s="76"/>
      <c r="J110" s="23">
        <f t="shared" si="2"/>
        <v>0.5</v>
      </c>
    </row>
    <row r="111" spans="1:10" ht="15.75">
      <c r="A111" s="23">
        <v>108</v>
      </c>
      <c r="B111" s="5" t="s">
        <v>512</v>
      </c>
      <c r="C111" s="11">
        <v>0</v>
      </c>
      <c r="D111" s="5" t="s">
        <v>554</v>
      </c>
      <c r="E111" s="11">
        <v>1</v>
      </c>
      <c r="F111" s="11"/>
      <c r="G111" s="11"/>
      <c r="H111" s="11"/>
      <c r="I111" s="76"/>
      <c r="J111" s="23">
        <f t="shared" si="2"/>
        <v>1</v>
      </c>
    </row>
    <row r="112" spans="1:10" ht="15.75">
      <c r="A112" s="23">
        <v>109</v>
      </c>
      <c r="B112" s="5" t="s">
        <v>512</v>
      </c>
      <c r="C112" s="11">
        <v>0</v>
      </c>
      <c r="D112" s="5" t="s">
        <v>555</v>
      </c>
      <c r="E112" s="11">
        <v>0.5</v>
      </c>
      <c r="F112" s="11"/>
      <c r="G112" s="11"/>
      <c r="H112" s="11"/>
      <c r="I112" s="76"/>
      <c r="J112" s="23">
        <f t="shared" si="2"/>
        <v>0.5</v>
      </c>
    </row>
    <row r="113" spans="1:10" ht="15.75">
      <c r="A113" s="161">
        <v>110</v>
      </c>
      <c r="B113" s="5" t="s">
        <v>512</v>
      </c>
      <c r="C113" s="11">
        <v>0</v>
      </c>
      <c r="D113" s="5" t="s">
        <v>47</v>
      </c>
      <c r="E113" s="11">
        <v>0.5</v>
      </c>
      <c r="F113" s="11">
        <v>0.5</v>
      </c>
      <c r="G113" s="11">
        <v>0.2</v>
      </c>
      <c r="H113" s="11">
        <v>5.0000000000000001E-3</v>
      </c>
      <c r="I113" s="76"/>
      <c r="J113" s="23">
        <f t="shared" si="2"/>
        <v>1.2049999999999998</v>
      </c>
    </row>
    <row r="114" spans="1:10" ht="15.75">
      <c r="A114" s="23">
        <v>111</v>
      </c>
      <c r="B114" s="5" t="s">
        <v>512</v>
      </c>
      <c r="C114" s="11">
        <v>0</v>
      </c>
      <c r="D114" s="5" t="s">
        <v>556</v>
      </c>
      <c r="E114" s="11">
        <v>1</v>
      </c>
      <c r="F114" s="11">
        <v>0.5</v>
      </c>
      <c r="G114" s="11">
        <v>0.2</v>
      </c>
      <c r="H114" s="11">
        <v>5.0000000000000001E-3</v>
      </c>
      <c r="I114" s="76"/>
      <c r="J114" s="23">
        <f t="shared" si="2"/>
        <v>1.7049999999999998</v>
      </c>
    </row>
    <row r="115" spans="1:10" ht="15.75">
      <c r="A115" s="23">
        <v>112</v>
      </c>
      <c r="B115" s="5" t="s">
        <v>512</v>
      </c>
      <c r="C115" s="11">
        <v>0</v>
      </c>
      <c r="D115" s="5" t="s">
        <v>557</v>
      </c>
      <c r="E115" s="11">
        <v>1</v>
      </c>
      <c r="F115" s="11">
        <v>0.5</v>
      </c>
      <c r="G115" s="11">
        <v>0.5</v>
      </c>
      <c r="H115" s="11">
        <v>2E-3</v>
      </c>
      <c r="I115" s="76"/>
      <c r="J115" s="23">
        <f t="shared" si="2"/>
        <v>2.0019999999999998</v>
      </c>
    </row>
    <row r="116" spans="1:10" ht="15.75">
      <c r="A116" s="161">
        <v>113</v>
      </c>
      <c r="B116" s="5" t="s">
        <v>512</v>
      </c>
      <c r="C116" s="11">
        <v>0</v>
      </c>
      <c r="D116" s="5" t="s">
        <v>558</v>
      </c>
      <c r="E116" s="11">
        <v>0.5</v>
      </c>
      <c r="F116" s="11">
        <v>0.5</v>
      </c>
      <c r="G116" s="11">
        <v>0.5</v>
      </c>
      <c r="H116" s="11">
        <v>2E-3</v>
      </c>
      <c r="I116" s="76"/>
      <c r="J116" s="23">
        <f t="shared" si="2"/>
        <v>1.502</v>
      </c>
    </row>
    <row r="117" spans="1:10" ht="15.75">
      <c r="A117" s="23">
        <v>114</v>
      </c>
      <c r="B117" s="5" t="s">
        <v>512</v>
      </c>
      <c r="C117" s="11">
        <v>0</v>
      </c>
      <c r="D117" s="5" t="s">
        <v>559</v>
      </c>
      <c r="E117" s="11">
        <v>1</v>
      </c>
      <c r="F117" s="11">
        <v>0.5</v>
      </c>
      <c r="G117" s="11">
        <v>0.5</v>
      </c>
      <c r="H117" s="11">
        <v>2E-3</v>
      </c>
      <c r="I117" s="76"/>
      <c r="J117" s="23">
        <f t="shared" si="2"/>
        <v>2.0019999999999998</v>
      </c>
    </row>
    <row r="118" spans="1:10" ht="15.75">
      <c r="A118" s="23">
        <v>115</v>
      </c>
      <c r="B118" s="5" t="s">
        <v>512</v>
      </c>
      <c r="C118" s="11">
        <v>0</v>
      </c>
      <c r="D118" s="5" t="s">
        <v>560</v>
      </c>
      <c r="E118" s="11">
        <v>1</v>
      </c>
      <c r="F118" s="11">
        <v>0.5</v>
      </c>
      <c r="G118" s="11">
        <v>0.5</v>
      </c>
      <c r="H118" s="11">
        <v>2E-3</v>
      </c>
      <c r="I118" s="76"/>
      <c r="J118" s="23">
        <f t="shared" si="2"/>
        <v>2.0019999999999998</v>
      </c>
    </row>
    <row r="119" spans="1:10" ht="15.75">
      <c r="A119" s="161">
        <v>116</v>
      </c>
      <c r="B119" s="5" t="s">
        <v>512</v>
      </c>
      <c r="C119" s="11">
        <v>0</v>
      </c>
      <c r="D119" s="5" t="s">
        <v>561</v>
      </c>
      <c r="E119" s="11">
        <v>0.5</v>
      </c>
      <c r="F119" s="11">
        <v>0.5</v>
      </c>
      <c r="G119" s="11">
        <v>0.2</v>
      </c>
      <c r="H119" s="11">
        <v>2E-3</v>
      </c>
      <c r="I119" s="76"/>
      <c r="J119" s="23">
        <f t="shared" si="2"/>
        <v>1.202</v>
      </c>
    </row>
    <row r="120" spans="1:10" ht="15.75">
      <c r="A120" s="23">
        <v>117</v>
      </c>
      <c r="B120" s="5" t="s">
        <v>512</v>
      </c>
      <c r="C120" s="11">
        <v>0</v>
      </c>
      <c r="D120" s="5" t="s">
        <v>562</v>
      </c>
      <c r="E120" s="11">
        <v>0.5</v>
      </c>
      <c r="F120" s="11">
        <v>0.5</v>
      </c>
      <c r="G120" s="11">
        <v>0.2</v>
      </c>
      <c r="H120" s="11">
        <v>2E-3</v>
      </c>
      <c r="I120" s="76"/>
      <c r="J120" s="23">
        <f t="shared" si="2"/>
        <v>1.202</v>
      </c>
    </row>
    <row r="121" spans="1:10" ht="15.75">
      <c r="A121" s="23">
        <v>118</v>
      </c>
      <c r="B121" s="5" t="s">
        <v>512</v>
      </c>
      <c r="C121" s="11">
        <v>0</v>
      </c>
      <c r="D121" s="5" t="s">
        <v>563</v>
      </c>
      <c r="E121" s="11">
        <v>1</v>
      </c>
      <c r="F121" s="11">
        <v>0.5</v>
      </c>
      <c r="G121" s="11">
        <v>0.2</v>
      </c>
      <c r="H121" s="11">
        <v>2E-3</v>
      </c>
      <c r="I121" s="76"/>
      <c r="J121" s="23">
        <f t="shared" si="2"/>
        <v>1.702</v>
      </c>
    </row>
    <row r="122" spans="1:10" ht="15.75">
      <c r="A122" s="161">
        <v>119</v>
      </c>
      <c r="B122" s="5" t="s">
        <v>512</v>
      </c>
      <c r="C122" s="11">
        <v>0</v>
      </c>
      <c r="D122" s="5" t="s">
        <v>564</v>
      </c>
      <c r="E122" s="11">
        <v>1</v>
      </c>
      <c r="F122" s="11">
        <v>0.5</v>
      </c>
      <c r="G122" s="11">
        <v>0.2</v>
      </c>
      <c r="H122" s="11">
        <v>5.0000000000000001E-3</v>
      </c>
      <c r="I122" s="76"/>
      <c r="J122" s="23">
        <f t="shared" si="2"/>
        <v>1.7049999999999998</v>
      </c>
    </row>
    <row r="123" spans="1:10" ht="15.75">
      <c r="A123" s="23">
        <v>120</v>
      </c>
      <c r="B123" s="5" t="s">
        <v>512</v>
      </c>
      <c r="C123" s="11">
        <v>0</v>
      </c>
      <c r="D123" s="5" t="s">
        <v>565</v>
      </c>
      <c r="E123" s="11">
        <v>0.5</v>
      </c>
      <c r="F123" s="11">
        <v>0.5</v>
      </c>
      <c r="G123" s="11">
        <v>0.2</v>
      </c>
      <c r="H123" s="11">
        <v>5.0000000000000001E-3</v>
      </c>
      <c r="I123" s="76"/>
      <c r="J123" s="23">
        <f t="shared" si="2"/>
        <v>1.2049999999999998</v>
      </c>
    </row>
    <row r="124" spans="1:10" ht="15.75">
      <c r="A124" s="23">
        <v>121</v>
      </c>
      <c r="B124" s="5" t="s">
        <v>512</v>
      </c>
      <c r="C124" s="11">
        <v>0</v>
      </c>
      <c r="D124" s="5" t="s">
        <v>566</v>
      </c>
      <c r="E124" s="11">
        <v>1</v>
      </c>
      <c r="F124" s="11"/>
      <c r="G124" s="11"/>
      <c r="H124" s="11"/>
      <c r="I124" s="76"/>
      <c r="J124" s="23">
        <f t="shared" si="2"/>
        <v>1</v>
      </c>
    </row>
    <row r="125" spans="1:10" ht="15.75">
      <c r="A125" s="161">
        <v>122</v>
      </c>
      <c r="B125" s="5" t="s">
        <v>512</v>
      </c>
      <c r="C125" s="11">
        <v>0</v>
      </c>
      <c r="D125" s="5" t="s">
        <v>567</v>
      </c>
      <c r="E125" s="11">
        <v>1</v>
      </c>
      <c r="F125" s="11"/>
      <c r="G125" s="11"/>
      <c r="H125" s="11"/>
      <c r="I125" s="76"/>
      <c r="J125" s="23">
        <f t="shared" si="2"/>
        <v>1</v>
      </c>
    </row>
    <row r="126" spans="1:10" ht="15.75">
      <c r="A126" s="23">
        <v>123</v>
      </c>
      <c r="B126" s="5" t="s">
        <v>512</v>
      </c>
      <c r="C126" s="11">
        <v>0</v>
      </c>
      <c r="D126" s="5" t="s">
        <v>568</v>
      </c>
      <c r="E126" s="11">
        <v>1</v>
      </c>
      <c r="F126" s="11"/>
      <c r="G126" s="11"/>
      <c r="H126" s="11"/>
      <c r="I126" s="76"/>
      <c r="J126" s="23">
        <f t="shared" si="2"/>
        <v>1</v>
      </c>
    </row>
    <row r="127" spans="1:10" ht="15.75">
      <c r="A127" s="23">
        <v>124</v>
      </c>
      <c r="B127" s="5" t="s">
        <v>512</v>
      </c>
      <c r="C127" s="11">
        <v>0</v>
      </c>
      <c r="D127" s="5" t="s">
        <v>569</v>
      </c>
      <c r="E127" s="11">
        <v>1</v>
      </c>
      <c r="F127" s="11"/>
      <c r="G127" s="11"/>
      <c r="H127" s="11"/>
      <c r="I127" s="76"/>
      <c r="J127" s="23">
        <f t="shared" si="2"/>
        <v>1</v>
      </c>
    </row>
    <row r="128" spans="1:10" ht="15.75">
      <c r="A128" s="161">
        <v>125</v>
      </c>
      <c r="B128" s="5" t="s">
        <v>512</v>
      </c>
      <c r="C128" s="11">
        <v>0</v>
      </c>
      <c r="D128" s="5" t="s">
        <v>570</v>
      </c>
      <c r="E128" s="11">
        <v>1</v>
      </c>
      <c r="F128" s="11"/>
      <c r="G128" s="11"/>
      <c r="H128" s="11"/>
      <c r="I128" s="76"/>
      <c r="J128" s="23">
        <f t="shared" si="2"/>
        <v>1</v>
      </c>
    </row>
    <row r="129" spans="1:10" ht="15.75">
      <c r="A129" s="23">
        <v>126</v>
      </c>
      <c r="B129" s="5" t="s">
        <v>512</v>
      </c>
      <c r="C129" s="11">
        <v>0</v>
      </c>
      <c r="D129" s="5" t="s">
        <v>571</v>
      </c>
      <c r="E129" s="11">
        <v>0.5</v>
      </c>
      <c r="F129" s="11"/>
      <c r="G129" s="11"/>
      <c r="H129" s="11"/>
      <c r="I129" s="76"/>
      <c r="J129" s="23">
        <f t="shared" si="2"/>
        <v>0.5</v>
      </c>
    </row>
    <row r="130" spans="1:10" ht="15.75">
      <c r="A130" s="23">
        <v>127</v>
      </c>
      <c r="B130" s="5" t="s">
        <v>512</v>
      </c>
      <c r="C130" s="11">
        <v>0</v>
      </c>
      <c r="D130" s="5" t="s">
        <v>572</v>
      </c>
      <c r="E130" s="11">
        <v>0.5</v>
      </c>
      <c r="F130" s="11"/>
      <c r="G130" s="11"/>
      <c r="H130" s="11"/>
      <c r="I130" s="76"/>
      <c r="J130" s="23">
        <f t="shared" si="2"/>
        <v>0.5</v>
      </c>
    </row>
    <row r="131" spans="1:10" ht="15.75">
      <c r="A131" s="161">
        <v>128</v>
      </c>
      <c r="B131" s="5" t="s">
        <v>512</v>
      </c>
      <c r="C131" s="11">
        <v>0</v>
      </c>
      <c r="D131" s="5" t="s">
        <v>573</v>
      </c>
      <c r="E131" s="11">
        <v>1</v>
      </c>
      <c r="F131" s="11">
        <v>0.5</v>
      </c>
      <c r="G131" s="11">
        <v>0.5</v>
      </c>
      <c r="H131" s="11">
        <v>5.0000000000000001E-3</v>
      </c>
      <c r="I131" s="76"/>
      <c r="J131" s="23">
        <f t="shared" si="2"/>
        <v>2.0049999999999999</v>
      </c>
    </row>
    <row r="132" spans="1:10" ht="15.75">
      <c r="A132" s="23">
        <v>129</v>
      </c>
      <c r="B132" s="5" t="s">
        <v>512</v>
      </c>
      <c r="C132" s="11">
        <v>0</v>
      </c>
      <c r="D132" s="5" t="s">
        <v>572</v>
      </c>
      <c r="E132" s="11">
        <v>0.5</v>
      </c>
      <c r="F132" s="11">
        <v>0.5</v>
      </c>
      <c r="G132" s="11">
        <v>0.5</v>
      </c>
      <c r="H132" s="11">
        <v>5.0000000000000001E-3</v>
      </c>
      <c r="I132" s="76"/>
      <c r="J132" s="23">
        <f t="shared" si="2"/>
        <v>1.5049999999999999</v>
      </c>
    </row>
    <row r="133" spans="1:10" ht="15.75">
      <c r="A133" s="23">
        <v>130</v>
      </c>
      <c r="B133" s="5" t="s">
        <v>512</v>
      </c>
      <c r="C133" s="11">
        <v>0</v>
      </c>
      <c r="D133" s="5" t="s">
        <v>574</v>
      </c>
      <c r="E133" s="11">
        <v>0.5</v>
      </c>
      <c r="F133" s="11">
        <v>0.5</v>
      </c>
      <c r="G133" s="11">
        <v>0.2</v>
      </c>
      <c r="H133" s="11">
        <v>2E-3</v>
      </c>
      <c r="I133" s="76"/>
      <c r="J133" s="23">
        <f t="shared" si="2"/>
        <v>1.202</v>
      </c>
    </row>
    <row r="134" spans="1:10" ht="15.75">
      <c r="A134" s="161">
        <v>131</v>
      </c>
      <c r="B134" s="5" t="s">
        <v>512</v>
      </c>
      <c r="C134" s="11">
        <v>0</v>
      </c>
      <c r="D134" s="5" t="s">
        <v>575</v>
      </c>
      <c r="E134" s="11">
        <v>1</v>
      </c>
      <c r="F134" s="11">
        <v>1</v>
      </c>
      <c r="G134" s="11">
        <v>0.2</v>
      </c>
      <c r="H134" s="11">
        <v>2E-3</v>
      </c>
      <c r="I134" s="76"/>
      <c r="J134" s="23">
        <f t="shared" si="2"/>
        <v>2.202</v>
      </c>
    </row>
    <row r="135" spans="1:10" ht="15.75">
      <c r="A135" s="23">
        <v>132</v>
      </c>
      <c r="B135" s="5" t="s">
        <v>512</v>
      </c>
      <c r="C135" s="11">
        <v>0</v>
      </c>
      <c r="D135" s="5" t="s">
        <v>576</v>
      </c>
      <c r="E135" s="11">
        <v>1</v>
      </c>
      <c r="F135" s="11">
        <v>0.5</v>
      </c>
      <c r="G135" s="11">
        <v>0.2</v>
      </c>
      <c r="H135" s="11">
        <v>2E-3</v>
      </c>
      <c r="I135" s="76"/>
      <c r="J135" s="23">
        <f t="shared" ref="J135:J195" si="3">SUM(E135:I135)</f>
        <v>1.702</v>
      </c>
    </row>
    <row r="136" spans="1:10" ht="15.75">
      <c r="A136" s="23">
        <v>133</v>
      </c>
      <c r="B136" s="5" t="s">
        <v>512</v>
      </c>
      <c r="C136" s="11">
        <v>0</v>
      </c>
      <c r="D136" s="5" t="s">
        <v>577</v>
      </c>
      <c r="E136" s="11">
        <v>0.5</v>
      </c>
      <c r="F136" s="11">
        <v>0.5</v>
      </c>
      <c r="G136" s="11">
        <v>0.2</v>
      </c>
      <c r="H136" s="11">
        <v>5.0000000000000001E-3</v>
      </c>
      <c r="I136" s="76"/>
      <c r="J136" s="23">
        <f t="shared" si="3"/>
        <v>1.2049999999999998</v>
      </c>
    </row>
    <row r="137" spans="1:10" ht="15.75">
      <c r="A137" s="161">
        <v>134</v>
      </c>
      <c r="B137" s="5" t="s">
        <v>512</v>
      </c>
      <c r="C137" s="11">
        <v>0</v>
      </c>
      <c r="D137" s="5" t="s">
        <v>578</v>
      </c>
      <c r="E137" s="11">
        <v>0.5</v>
      </c>
      <c r="F137" s="11"/>
      <c r="G137" s="11"/>
      <c r="H137" s="11"/>
      <c r="I137" s="76"/>
      <c r="J137" s="23">
        <f t="shared" si="3"/>
        <v>0.5</v>
      </c>
    </row>
    <row r="138" spans="1:10" ht="15.75">
      <c r="A138" s="23">
        <v>135</v>
      </c>
      <c r="B138" s="5" t="s">
        <v>512</v>
      </c>
      <c r="C138" s="11">
        <v>0</v>
      </c>
      <c r="D138" s="5" t="s">
        <v>579</v>
      </c>
      <c r="E138" s="11">
        <v>1</v>
      </c>
      <c r="F138" s="11"/>
      <c r="G138" s="11"/>
      <c r="H138" s="11"/>
      <c r="I138" s="76"/>
      <c r="J138" s="23">
        <f t="shared" si="3"/>
        <v>1</v>
      </c>
    </row>
    <row r="139" spans="1:10" ht="15.75">
      <c r="A139" s="23">
        <v>136</v>
      </c>
      <c r="B139" s="5" t="s">
        <v>512</v>
      </c>
      <c r="C139" s="11">
        <v>0</v>
      </c>
      <c r="D139" s="5" t="s">
        <v>534</v>
      </c>
      <c r="E139" s="11">
        <v>1</v>
      </c>
      <c r="F139" s="11"/>
      <c r="G139" s="11"/>
      <c r="H139" s="11"/>
      <c r="I139" s="76"/>
      <c r="J139" s="23">
        <f t="shared" si="3"/>
        <v>1</v>
      </c>
    </row>
    <row r="140" spans="1:10" ht="15.75">
      <c r="A140" s="161">
        <v>137</v>
      </c>
      <c r="B140" s="5" t="s">
        <v>512</v>
      </c>
      <c r="C140" s="11">
        <v>0</v>
      </c>
      <c r="D140" s="5" t="s">
        <v>580</v>
      </c>
      <c r="E140" s="11">
        <v>0.5</v>
      </c>
      <c r="F140" s="11"/>
      <c r="G140" s="11"/>
      <c r="H140" s="11"/>
      <c r="I140" s="76"/>
      <c r="J140" s="23">
        <f t="shared" si="3"/>
        <v>0.5</v>
      </c>
    </row>
    <row r="141" spans="1:10" ht="15.75">
      <c r="A141" s="23">
        <v>138</v>
      </c>
      <c r="B141" s="5" t="s">
        <v>512</v>
      </c>
      <c r="C141" s="11">
        <v>0</v>
      </c>
      <c r="D141" s="5" t="s">
        <v>581</v>
      </c>
      <c r="E141" s="11">
        <v>0.5</v>
      </c>
      <c r="F141" s="11"/>
      <c r="G141" s="11"/>
      <c r="H141" s="11"/>
      <c r="I141" s="76"/>
      <c r="J141" s="23">
        <f t="shared" si="3"/>
        <v>0.5</v>
      </c>
    </row>
    <row r="142" spans="1:10" ht="15.75">
      <c r="A142" s="23">
        <v>139</v>
      </c>
      <c r="B142" s="5" t="s">
        <v>512</v>
      </c>
      <c r="C142" s="11">
        <v>0</v>
      </c>
      <c r="D142" s="5" t="s">
        <v>582</v>
      </c>
      <c r="E142" s="11">
        <v>1</v>
      </c>
      <c r="F142" s="11"/>
      <c r="G142" s="11"/>
      <c r="H142" s="11"/>
      <c r="I142" s="76"/>
      <c r="J142" s="23">
        <f t="shared" si="3"/>
        <v>1</v>
      </c>
    </row>
    <row r="143" spans="1:10" ht="15.75">
      <c r="A143" s="161">
        <v>140</v>
      </c>
      <c r="B143" s="5" t="s">
        <v>512</v>
      </c>
      <c r="C143" s="11">
        <v>0</v>
      </c>
      <c r="D143" s="5" t="s">
        <v>583</v>
      </c>
      <c r="E143" s="11">
        <v>1</v>
      </c>
      <c r="F143" s="11"/>
      <c r="G143" s="11"/>
      <c r="H143" s="11"/>
      <c r="I143" s="76"/>
      <c r="J143" s="23">
        <f t="shared" si="3"/>
        <v>1</v>
      </c>
    </row>
    <row r="144" spans="1:10" ht="15.75">
      <c r="A144" s="23">
        <v>141</v>
      </c>
      <c r="B144" s="5" t="s">
        <v>512</v>
      </c>
      <c r="C144" s="11">
        <v>0</v>
      </c>
      <c r="D144" s="5" t="s">
        <v>584</v>
      </c>
      <c r="E144" s="11">
        <v>0.5</v>
      </c>
      <c r="F144" s="11"/>
      <c r="G144" s="11"/>
      <c r="H144" s="11"/>
      <c r="I144" s="76"/>
      <c r="J144" s="23">
        <f t="shared" si="3"/>
        <v>0.5</v>
      </c>
    </row>
    <row r="145" spans="1:10" ht="15.75">
      <c r="A145" s="23">
        <v>142</v>
      </c>
      <c r="B145" s="5" t="s">
        <v>512</v>
      </c>
      <c r="C145" s="11">
        <v>0</v>
      </c>
      <c r="D145" s="5" t="s">
        <v>585</v>
      </c>
      <c r="E145" s="11">
        <v>1</v>
      </c>
      <c r="F145" s="11">
        <v>0.5</v>
      </c>
      <c r="G145" s="11">
        <v>0.5</v>
      </c>
      <c r="H145" s="11">
        <v>2E-3</v>
      </c>
      <c r="I145" s="76"/>
      <c r="J145" s="23">
        <f t="shared" si="3"/>
        <v>2.0019999999999998</v>
      </c>
    </row>
    <row r="146" spans="1:10" ht="15.75">
      <c r="A146" s="161">
        <v>143</v>
      </c>
      <c r="B146" s="5" t="s">
        <v>512</v>
      </c>
      <c r="C146" s="11">
        <v>0</v>
      </c>
      <c r="D146" s="5" t="s">
        <v>586</v>
      </c>
      <c r="E146" s="11">
        <v>0.5</v>
      </c>
      <c r="F146" s="11">
        <v>0.5</v>
      </c>
      <c r="G146" s="11">
        <v>0.5</v>
      </c>
      <c r="H146" s="11">
        <v>2E-3</v>
      </c>
      <c r="I146" s="76"/>
      <c r="J146" s="23">
        <f t="shared" si="3"/>
        <v>1.502</v>
      </c>
    </row>
    <row r="147" spans="1:10" ht="15.75">
      <c r="A147" s="23">
        <v>144</v>
      </c>
      <c r="B147" s="5" t="s">
        <v>512</v>
      </c>
      <c r="C147" s="11">
        <v>0</v>
      </c>
      <c r="D147" s="5" t="s">
        <v>587</v>
      </c>
      <c r="E147" s="11">
        <v>0.5</v>
      </c>
      <c r="F147" s="11">
        <v>0.5</v>
      </c>
      <c r="G147" s="11">
        <v>0.5</v>
      </c>
      <c r="H147" s="11">
        <v>2E-3</v>
      </c>
      <c r="I147" s="76"/>
      <c r="J147" s="23">
        <f t="shared" si="3"/>
        <v>1.502</v>
      </c>
    </row>
    <row r="148" spans="1:10" ht="15.75">
      <c r="A148" s="23">
        <v>145</v>
      </c>
      <c r="B148" s="5" t="s">
        <v>512</v>
      </c>
      <c r="C148" s="11">
        <v>0</v>
      </c>
      <c r="D148" s="5" t="s">
        <v>588</v>
      </c>
      <c r="E148" s="11">
        <v>1</v>
      </c>
      <c r="F148" s="11">
        <v>0.5</v>
      </c>
      <c r="G148" s="11">
        <v>0.5</v>
      </c>
      <c r="H148" s="11">
        <v>2E-3</v>
      </c>
      <c r="I148" s="76"/>
      <c r="J148" s="23">
        <f t="shared" si="3"/>
        <v>2.0019999999999998</v>
      </c>
    </row>
    <row r="149" spans="1:10" ht="15.75">
      <c r="A149" s="161">
        <v>146</v>
      </c>
      <c r="B149" s="5" t="s">
        <v>512</v>
      </c>
      <c r="C149" s="11">
        <v>0</v>
      </c>
      <c r="D149" s="5" t="s">
        <v>589</v>
      </c>
      <c r="E149" s="11">
        <v>0.5</v>
      </c>
      <c r="F149" s="11">
        <v>0.5</v>
      </c>
      <c r="G149" s="11">
        <v>0.2</v>
      </c>
      <c r="H149" s="11">
        <v>2E-3</v>
      </c>
      <c r="I149" s="76"/>
      <c r="J149" s="23">
        <f t="shared" si="3"/>
        <v>1.202</v>
      </c>
    </row>
    <row r="150" spans="1:10" ht="15.75">
      <c r="A150" s="23">
        <v>147</v>
      </c>
      <c r="B150" s="5" t="s">
        <v>512</v>
      </c>
      <c r="C150" s="11">
        <v>0</v>
      </c>
      <c r="D150" s="5" t="s">
        <v>590</v>
      </c>
      <c r="E150" s="11">
        <v>0.5</v>
      </c>
      <c r="F150" s="11">
        <v>0.5</v>
      </c>
      <c r="G150" s="11">
        <v>0.2</v>
      </c>
      <c r="H150" s="11">
        <v>2E-3</v>
      </c>
      <c r="I150" s="76"/>
      <c r="J150" s="23">
        <f t="shared" si="3"/>
        <v>1.202</v>
      </c>
    </row>
    <row r="151" spans="1:10" ht="15.75">
      <c r="A151" s="23">
        <v>148</v>
      </c>
      <c r="B151" s="5" t="s">
        <v>512</v>
      </c>
      <c r="C151" s="11">
        <v>0</v>
      </c>
      <c r="D151" s="5" t="s">
        <v>591</v>
      </c>
      <c r="E151" s="11">
        <v>1</v>
      </c>
      <c r="F151" s="11">
        <v>1</v>
      </c>
      <c r="G151" s="11">
        <v>0.2</v>
      </c>
      <c r="H151" s="11">
        <v>2E-3</v>
      </c>
      <c r="I151" s="76"/>
      <c r="J151" s="23">
        <f t="shared" si="3"/>
        <v>2.202</v>
      </c>
    </row>
    <row r="152" spans="1:10" ht="15.75">
      <c r="A152" s="161">
        <v>149</v>
      </c>
      <c r="B152" s="5" t="s">
        <v>512</v>
      </c>
      <c r="C152" s="11">
        <v>0</v>
      </c>
      <c r="D152" s="5" t="s">
        <v>592</v>
      </c>
      <c r="E152" s="11">
        <v>0.5</v>
      </c>
      <c r="F152" s="11">
        <v>0.5</v>
      </c>
      <c r="G152" s="11">
        <v>0.2</v>
      </c>
      <c r="H152" s="11">
        <v>2E-3</v>
      </c>
      <c r="I152" s="76"/>
      <c r="J152" s="23">
        <f t="shared" si="3"/>
        <v>1.202</v>
      </c>
    </row>
    <row r="153" spans="1:10" ht="15.75">
      <c r="A153" s="23">
        <v>150</v>
      </c>
      <c r="B153" s="5" t="s">
        <v>512</v>
      </c>
      <c r="C153" s="11">
        <v>0</v>
      </c>
      <c r="D153" s="5" t="s">
        <v>593</v>
      </c>
      <c r="E153" s="11">
        <v>0.5</v>
      </c>
      <c r="F153" s="11">
        <v>0.5</v>
      </c>
      <c r="G153" s="11">
        <v>0.2</v>
      </c>
      <c r="H153" s="11">
        <v>2E-3</v>
      </c>
      <c r="I153" s="76"/>
      <c r="J153" s="23">
        <f t="shared" si="3"/>
        <v>1.202</v>
      </c>
    </row>
    <row r="154" spans="1:10" ht="15.75">
      <c r="A154" s="23">
        <v>151</v>
      </c>
      <c r="B154" s="5" t="s">
        <v>512</v>
      </c>
      <c r="C154" s="11">
        <v>0</v>
      </c>
      <c r="D154" s="5" t="s">
        <v>594</v>
      </c>
      <c r="E154" s="11">
        <v>1</v>
      </c>
      <c r="F154" s="11"/>
      <c r="G154" s="11"/>
      <c r="H154" s="11"/>
      <c r="I154" s="76"/>
      <c r="J154" s="23">
        <f t="shared" si="3"/>
        <v>1</v>
      </c>
    </row>
    <row r="155" spans="1:10" ht="15.75">
      <c r="A155" s="161">
        <v>152</v>
      </c>
      <c r="B155" s="5" t="s">
        <v>512</v>
      </c>
      <c r="C155" s="11">
        <v>0</v>
      </c>
      <c r="D155" s="5" t="s">
        <v>595</v>
      </c>
      <c r="E155" s="11">
        <v>1</v>
      </c>
      <c r="F155" s="11"/>
      <c r="G155" s="11"/>
      <c r="H155" s="11"/>
      <c r="I155" s="76"/>
      <c r="J155" s="23">
        <f t="shared" si="3"/>
        <v>1</v>
      </c>
    </row>
    <row r="156" spans="1:10" ht="15.75">
      <c r="A156" s="23">
        <v>153</v>
      </c>
      <c r="B156" s="5" t="s">
        <v>512</v>
      </c>
      <c r="C156" s="11">
        <v>0</v>
      </c>
      <c r="D156" s="5" t="s">
        <v>596</v>
      </c>
      <c r="E156" s="11">
        <v>0.5</v>
      </c>
      <c r="F156" s="11"/>
      <c r="G156" s="11"/>
      <c r="H156" s="11"/>
      <c r="I156" s="76"/>
      <c r="J156" s="23">
        <f t="shared" si="3"/>
        <v>0.5</v>
      </c>
    </row>
    <row r="157" spans="1:10" ht="15.75">
      <c r="A157" s="23">
        <v>154</v>
      </c>
      <c r="B157" s="5" t="s">
        <v>512</v>
      </c>
      <c r="C157" s="11">
        <v>0</v>
      </c>
      <c r="D157" s="5" t="s">
        <v>597</v>
      </c>
      <c r="E157" s="11">
        <v>1</v>
      </c>
      <c r="F157" s="11"/>
      <c r="G157" s="11"/>
      <c r="H157" s="11"/>
      <c r="I157" s="76"/>
      <c r="J157" s="23">
        <f t="shared" si="3"/>
        <v>1</v>
      </c>
    </row>
    <row r="158" spans="1:10" ht="15.75">
      <c r="A158" s="161">
        <v>155</v>
      </c>
      <c r="B158" s="5" t="s">
        <v>512</v>
      </c>
      <c r="C158" s="11">
        <v>0</v>
      </c>
      <c r="D158" s="5" t="s">
        <v>598</v>
      </c>
      <c r="E158" s="11">
        <v>0.5</v>
      </c>
      <c r="F158" s="11"/>
      <c r="G158" s="11"/>
      <c r="H158" s="11"/>
      <c r="I158" s="76"/>
      <c r="J158" s="23">
        <f t="shared" si="3"/>
        <v>0.5</v>
      </c>
    </row>
    <row r="159" spans="1:10" ht="15.75">
      <c r="A159" s="23">
        <v>156</v>
      </c>
      <c r="B159" s="5" t="s">
        <v>512</v>
      </c>
      <c r="C159" s="11">
        <v>0</v>
      </c>
      <c r="D159" s="5" t="s">
        <v>599</v>
      </c>
      <c r="E159" s="11">
        <v>1</v>
      </c>
      <c r="F159" s="11"/>
      <c r="G159" s="11"/>
      <c r="H159" s="11"/>
      <c r="I159" s="76"/>
      <c r="J159" s="23">
        <f t="shared" si="3"/>
        <v>1</v>
      </c>
    </row>
    <row r="160" spans="1:10" ht="15.75">
      <c r="A160" s="23">
        <v>157</v>
      </c>
      <c r="B160" s="5" t="s">
        <v>512</v>
      </c>
      <c r="C160" s="11">
        <v>0</v>
      </c>
      <c r="D160" s="5" t="s">
        <v>600</v>
      </c>
      <c r="E160" s="11">
        <v>1</v>
      </c>
      <c r="F160" s="11"/>
      <c r="G160" s="11"/>
      <c r="H160" s="11"/>
      <c r="I160" s="76"/>
      <c r="J160" s="23">
        <f t="shared" si="3"/>
        <v>1</v>
      </c>
    </row>
    <row r="161" spans="1:10" ht="15.75">
      <c r="A161" s="161">
        <v>158</v>
      </c>
      <c r="B161" s="5" t="s">
        <v>512</v>
      </c>
      <c r="C161" s="11">
        <v>0</v>
      </c>
      <c r="D161" s="5" t="s">
        <v>601</v>
      </c>
      <c r="E161" s="11">
        <v>1</v>
      </c>
      <c r="F161" s="11">
        <v>0.5</v>
      </c>
      <c r="G161" s="11">
        <v>0.5</v>
      </c>
      <c r="H161" s="11">
        <v>2E-3</v>
      </c>
      <c r="I161" s="76"/>
      <c r="J161" s="23">
        <f t="shared" si="3"/>
        <v>2.0019999999999998</v>
      </c>
    </row>
    <row r="162" spans="1:10" ht="15.75">
      <c r="A162" s="23">
        <v>159</v>
      </c>
      <c r="B162" s="5" t="s">
        <v>512</v>
      </c>
      <c r="C162" s="11">
        <v>0</v>
      </c>
      <c r="D162" s="5" t="s">
        <v>602</v>
      </c>
      <c r="E162" s="11">
        <v>1</v>
      </c>
      <c r="F162" s="11">
        <v>0.5</v>
      </c>
      <c r="G162" s="11">
        <v>0.5</v>
      </c>
      <c r="H162" s="11">
        <v>2E-3</v>
      </c>
      <c r="I162" s="76"/>
      <c r="J162" s="23">
        <f t="shared" si="3"/>
        <v>2.0019999999999998</v>
      </c>
    </row>
    <row r="163" spans="1:10" ht="15.75">
      <c r="A163" s="23">
        <v>160</v>
      </c>
      <c r="B163" s="5" t="s">
        <v>512</v>
      </c>
      <c r="C163" s="11">
        <v>0</v>
      </c>
      <c r="D163" s="5" t="s">
        <v>500</v>
      </c>
      <c r="E163" s="11">
        <v>0.5</v>
      </c>
      <c r="F163" s="11">
        <v>0.5</v>
      </c>
      <c r="G163" s="11">
        <v>0.5</v>
      </c>
      <c r="H163" s="11">
        <v>2E-3</v>
      </c>
      <c r="I163" s="76"/>
      <c r="J163" s="23">
        <f t="shared" si="3"/>
        <v>1.502</v>
      </c>
    </row>
    <row r="164" spans="1:10" ht="15.75">
      <c r="A164" s="161">
        <v>161</v>
      </c>
      <c r="B164" s="5" t="s">
        <v>512</v>
      </c>
      <c r="C164" s="11">
        <v>0</v>
      </c>
      <c r="D164" s="5" t="s">
        <v>603</v>
      </c>
      <c r="E164" s="11">
        <v>1</v>
      </c>
      <c r="F164" s="11">
        <v>1</v>
      </c>
      <c r="G164" s="11">
        <v>0.5</v>
      </c>
      <c r="H164" s="11">
        <v>2E-3</v>
      </c>
      <c r="I164" s="76"/>
      <c r="J164" s="23">
        <f t="shared" si="3"/>
        <v>2.5019999999999998</v>
      </c>
    </row>
    <row r="165" spans="1:10" ht="15.75">
      <c r="A165" s="23">
        <v>162</v>
      </c>
      <c r="B165" s="5" t="s">
        <v>512</v>
      </c>
      <c r="C165" s="11">
        <v>0</v>
      </c>
      <c r="D165" s="5" t="s">
        <v>604</v>
      </c>
      <c r="E165" s="11">
        <v>1</v>
      </c>
      <c r="F165" s="11"/>
      <c r="G165" s="11"/>
      <c r="H165" s="11"/>
      <c r="I165" s="76"/>
      <c r="J165" s="23">
        <f t="shared" si="3"/>
        <v>1</v>
      </c>
    </row>
    <row r="166" spans="1:10" ht="15.75">
      <c r="A166" s="23">
        <v>163</v>
      </c>
      <c r="B166" s="5" t="s">
        <v>512</v>
      </c>
      <c r="C166" s="11">
        <v>0</v>
      </c>
      <c r="D166" s="73" t="s">
        <v>605</v>
      </c>
      <c r="E166" s="11">
        <v>2</v>
      </c>
      <c r="F166" s="11"/>
      <c r="G166" s="11"/>
      <c r="H166" s="11"/>
      <c r="I166" s="76"/>
      <c r="J166" s="23">
        <f t="shared" si="3"/>
        <v>2</v>
      </c>
    </row>
    <row r="167" spans="1:10" ht="15.75">
      <c r="A167" s="161">
        <v>164</v>
      </c>
      <c r="B167" s="5" t="s">
        <v>512</v>
      </c>
      <c r="C167" s="11">
        <v>0</v>
      </c>
      <c r="D167" s="5" t="s">
        <v>606</v>
      </c>
      <c r="E167" s="11">
        <v>1</v>
      </c>
      <c r="F167" s="11"/>
      <c r="G167" s="11"/>
      <c r="H167" s="11"/>
      <c r="I167" s="76"/>
      <c r="J167" s="23">
        <f t="shared" si="3"/>
        <v>1</v>
      </c>
    </row>
    <row r="168" spans="1:10" ht="15.75">
      <c r="A168" s="23">
        <v>165</v>
      </c>
      <c r="B168" s="5" t="s">
        <v>512</v>
      </c>
      <c r="C168" s="11">
        <v>0</v>
      </c>
      <c r="D168" s="5" t="s">
        <v>607</v>
      </c>
      <c r="E168" s="11">
        <v>1</v>
      </c>
      <c r="F168" s="11"/>
      <c r="G168" s="11"/>
      <c r="H168" s="11"/>
      <c r="I168" s="76"/>
      <c r="J168" s="23">
        <f t="shared" si="3"/>
        <v>1</v>
      </c>
    </row>
    <row r="169" spans="1:10" ht="15.75">
      <c r="A169" s="23">
        <v>166</v>
      </c>
      <c r="B169" s="5" t="s">
        <v>512</v>
      </c>
      <c r="C169" s="11">
        <v>0</v>
      </c>
      <c r="D169" s="5" t="s">
        <v>83</v>
      </c>
      <c r="E169" s="11">
        <v>1</v>
      </c>
      <c r="F169" s="11"/>
      <c r="G169" s="11"/>
      <c r="H169" s="11"/>
      <c r="I169" s="76"/>
      <c r="J169" s="23">
        <f t="shared" si="3"/>
        <v>1</v>
      </c>
    </row>
    <row r="170" spans="1:10" ht="15.75">
      <c r="A170" s="161">
        <v>167</v>
      </c>
      <c r="B170" s="5" t="s">
        <v>512</v>
      </c>
      <c r="C170" s="11">
        <v>0</v>
      </c>
      <c r="D170" s="5" t="s">
        <v>608</v>
      </c>
      <c r="E170" s="11">
        <v>2</v>
      </c>
      <c r="F170" s="11"/>
      <c r="G170" s="11"/>
      <c r="H170" s="11"/>
      <c r="I170" s="76"/>
      <c r="J170" s="23">
        <f t="shared" si="3"/>
        <v>2</v>
      </c>
    </row>
    <row r="171" spans="1:10" ht="15.75">
      <c r="A171" s="23">
        <v>168</v>
      </c>
      <c r="B171" s="5" t="s">
        <v>512</v>
      </c>
      <c r="C171" s="11">
        <v>0</v>
      </c>
      <c r="D171" s="5" t="s">
        <v>503</v>
      </c>
      <c r="E171" s="11">
        <v>0.5</v>
      </c>
      <c r="F171" s="11">
        <v>0.5</v>
      </c>
      <c r="G171" s="11">
        <v>0.5</v>
      </c>
      <c r="H171" s="11">
        <v>2E-3</v>
      </c>
      <c r="I171" s="76"/>
      <c r="J171" s="23">
        <f t="shared" si="3"/>
        <v>1.502</v>
      </c>
    </row>
    <row r="172" spans="1:10" ht="15.75">
      <c r="A172" s="23">
        <v>169</v>
      </c>
      <c r="B172" s="5" t="s">
        <v>512</v>
      </c>
      <c r="C172" s="11">
        <v>0</v>
      </c>
      <c r="D172" s="5" t="s">
        <v>609</v>
      </c>
      <c r="E172" s="11">
        <v>1</v>
      </c>
      <c r="F172" s="11">
        <v>0.5</v>
      </c>
      <c r="G172" s="11">
        <v>0.5</v>
      </c>
      <c r="H172" s="11">
        <v>2E-3</v>
      </c>
      <c r="I172" s="76"/>
      <c r="J172" s="23">
        <f t="shared" si="3"/>
        <v>2.0019999999999998</v>
      </c>
    </row>
    <row r="173" spans="1:10" ht="15.75">
      <c r="A173" s="161">
        <v>170</v>
      </c>
      <c r="B173" s="5" t="s">
        <v>512</v>
      </c>
      <c r="C173" s="11">
        <v>0</v>
      </c>
      <c r="D173" s="5" t="s">
        <v>610</v>
      </c>
      <c r="E173" s="11">
        <v>1</v>
      </c>
      <c r="F173" s="11">
        <v>0.5</v>
      </c>
      <c r="G173" s="11">
        <v>0.2</v>
      </c>
      <c r="H173" s="11">
        <v>2E-3</v>
      </c>
      <c r="I173" s="76"/>
      <c r="J173" s="23">
        <f t="shared" si="3"/>
        <v>1.702</v>
      </c>
    </row>
    <row r="174" spans="1:10" ht="15.75">
      <c r="A174" s="23">
        <v>171</v>
      </c>
      <c r="B174" s="5" t="s">
        <v>512</v>
      </c>
      <c r="C174" s="11">
        <v>0</v>
      </c>
      <c r="D174" s="5" t="s">
        <v>611</v>
      </c>
      <c r="E174" s="11">
        <v>0.5</v>
      </c>
      <c r="F174" s="11">
        <v>0.5</v>
      </c>
      <c r="G174" s="11">
        <v>0.2</v>
      </c>
      <c r="H174" s="11">
        <v>2E-3</v>
      </c>
      <c r="I174" s="76"/>
      <c r="J174" s="23">
        <f t="shared" si="3"/>
        <v>1.202</v>
      </c>
    </row>
    <row r="175" spans="1:10" ht="15.75">
      <c r="A175" s="23">
        <v>172</v>
      </c>
      <c r="B175" s="5" t="s">
        <v>512</v>
      </c>
      <c r="C175" s="11">
        <v>0</v>
      </c>
      <c r="D175" s="5" t="s">
        <v>612</v>
      </c>
      <c r="E175" s="11">
        <v>0.5</v>
      </c>
      <c r="F175" s="11">
        <v>0.5</v>
      </c>
      <c r="G175" s="11">
        <v>0.5</v>
      </c>
      <c r="H175" s="11">
        <v>2E-3</v>
      </c>
      <c r="I175" s="76"/>
      <c r="J175" s="23">
        <f t="shared" si="3"/>
        <v>1.502</v>
      </c>
    </row>
    <row r="176" spans="1:10" ht="15.75">
      <c r="A176" s="161">
        <v>173</v>
      </c>
      <c r="B176" s="5" t="s">
        <v>512</v>
      </c>
      <c r="C176" s="11">
        <v>0</v>
      </c>
      <c r="D176" s="5" t="s">
        <v>504</v>
      </c>
      <c r="E176" s="11">
        <v>1</v>
      </c>
      <c r="F176" s="11">
        <v>0.5</v>
      </c>
      <c r="G176" s="11">
        <v>0.5</v>
      </c>
      <c r="H176" s="11">
        <v>2E-3</v>
      </c>
      <c r="I176" s="76"/>
      <c r="J176" s="23">
        <f t="shared" si="3"/>
        <v>2.0019999999999998</v>
      </c>
    </row>
    <row r="177" spans="1:10" ht="15.75">
      <c r="A177" s="23">
        <v>174</v>
      </c>
      <c r="B177" s="5" t="s">
        <v>512</v>
      </c>
      <c r="C177" s="11">
        <v>0</v>
      </c>
      <c r="D177" s="5" t="s">
        <v>613</v>
      </c>
      <c r="E177" s="11">
        <v>1</v>
      </c>
      <c r="F177" s="11"/>
      <c r="G177" s="11"/>
      <c r="H177" s="11"/>
      <c r="I177" s="76"/>
      <c r="J177" s="23">
        <f t="shared" si="3"/>
        <v>1</v>
      </c>
    </row>
    <row r="178" spans="1:10" ht="15.75">
      <c r="A178" s="23">
        <v>175</v>
      </c>
      <c r="B178" s="5" t="s">
        <v>512</v>
      </c>
      <c r="C178" s="11">
        <v>0</v>
      </c>
      <c r="D178" s="5" t="s">
        <v>614</v>
      </c>
      <c r="E178" s="11">
        <v>1</v>
      </c>
      <c r="F178" s="11"/>
      <c r="G178" s="11"/>
      <c r="H178" s="11"/>
      <c r="I178" s="76"/>
      <c r="J178" s="23">
        <f t="shared" si="3"/>
        <v>1</v>
      </c>
    </row>
    <row r="179" spans="1:10" ht="15.75">
      <c r="A179" s="161">
        <v>176</v>
      </c>
      <c r="B179" s="5" t="s">
        <v>512</v>
      </c>
      <c r="C179" s="11">
        <v>0</v>
      </c>
      <c r="D179" s="73" t="s">
        <v>615</v>
      </c>
      <c r="E179" s="11">
        <v>1</v>
      </c>
      <c r="F179" s="11"/>
      <c r="G179" s="11"/>
      <c r="H179" s="11"/>
      <c r="I179" s="76"/>
      <c r="J179" s="23">
        <f t="shared" si="3"/>
        <v>1</v>
      </c>
    </row>
    <row r="180" spans="1:10" ht="15.75">
      <c r="A180" s="23">
        <v>177</v>
      </c>
      <c r="B180" s="5" t="s">
        <v>512</v>
      </c>
      <c r="C180" s="11">
        <v>0</v>
      </c>
      <c r="D180" s="73" t="s">
        <v>616</v>
      </c>
      <c r="E180" s="11">
        <v>0.5</v>
      </c>
      <c r="F180" s="11"/>
      <c r="G180" s="11"/>
      <c r="H180" s="11"/>
      <c r="I180" s="76"/>
      <c r="J180" s="23">
        <f t="shared" si="3"/>
        <v>0.5</v>
      </c>
    </row>
    <row r="181" spans="1:10" ht="15.75">
      <c r="A181" s="23">
        <v>178</v>
      </c>
      <c r="B181" s="5" t="s">
        <v>512</v>
      </c>
      <c r="C181" s="11">
        <v>0</v>
      </c>
      <c r="D181" s="5" t="s">
        <v>617</v>
      </c>
      <c r="E181" s="11">
        <v>0.5</v>
      </c>
      <c r="F181" s="11"/>
      <c r="G181" s="11"/>
      <c r="H181" s="11"/>
      <c r="I181" s="76"/>
      <c r="J181" s="23">
        <f t="shared" si="3"/>
        <v>0.5</v>
      </c>
    </row>
    <row r="182" spans="1:10" ht="15.75">
      <c r="A182" s="161">
        <v>179</v>
      </c>
      <c r="B182" s="5" t="s">
        <v>512</v>
      </c>
      <c r="C182" s="11">
        <v>0</v>
      </c>
      <c r="D182" s="5" t="s">
        <v>618</v>
      </c>
      <c r="E182" s="11">
        <v>1</v>
      </c>
      <c r="F182" s="11"/>
      <c r="G182" s="11"/>
      <c r="H182" s="11"/>
      <c r="I182" s="76"/>
      <c r="J182" s="23">
        <f t="shared" si="3"/>
        <v>1</v>
      </c>
    </row>
    <row r="183" spans="1:10" ht="15.75">
      <c r="A183" s="23">
        <v>180</v>
      </c>
      <c r="B183" s="5" t="s">
        <v>512</v>
      </c>
      <c r="C183" s="11">
        <v>0</v>
      </c>
      <c r="D183" s="5" t="s">
        <v>619</v>
      </c>
      <c r="E183" s="11">
        <v>0.5</v>
      </c>
      <c r="F183" s="11"/>
      <c r="G183" s="11"/>
      <c r="H183" s="11"/>
      <c r="I183" s="76"/>
      <c r="J183" s="23">
        <f t="shared" si="3"/>
        <v>0.5</v>
      </c>
    </row>
    <row r="184" spans="1:10" ht="15.75">
      <c r="A184" s="23">
        <v>181</v>
      </c>
      <c r="B184" s="5" t="s">
        <v>512</v>
      </c>
      <c r="C184" s="11">
        <v>0</v>
      </c>
      <c r="D184" s="5" t="s">
        <v>506</v>
      </c>
      <c r="E184" s="11">
        <v>0.5</v>
      </c>
      <c r="F184" s="11">
        <v>0.5</v>
      </c>
      <c r="G184" s="11">
        <v>0.5</v>
      </c>
      <c r="H184" s="11">
        <v>3.0000000000000001E-3</v>
      </c>
      <c r="I184" s="76"/>
      <c r="J184" s="23">
        <f t="shared" si="3"/>
        <v>1.5029999999999999</v>
      </c>
    </row>
    <row r="185" spans="1:10" ht="15.75">
      <c r="A185" s="161">
        <v>182</v>
      </c>
      <c r="B185" s="5" t="s">
        <v>512</v>
      </c>
      <c r="C185" s="11">
        <v>0</v>
      </c>
      <c r="D185" s="5" t="s">
        <v>620</v>
      </c>
      <c r="E185" s="11">
        <v>0.5</v>
      </c>
      <c r="F185" s="11">
        <v>0.5</v>
      </c>
      <c r="G185" s="11">
        <v>0.3</v>
      </c>
      <c r="H185" s="11">
        <v>5.0000000000000001E-3</v>
      </c>
      <c r="I185" s="76"/>
      <c r="J185" s="23">
        <f t="shared" si="3"/>
        <v>1.3049999999999999</v>
      </c>
    </row>
    <row r="186" spans="1:10" ht="15.75">
      <c r="A186" s="23">
        <v>183</v>
      </c>
      <c r="B186" s="5" t="s">
        <v>512</v>
      </c>
      <c r="C186" s="11">
        <v>0</v>
      </c>
      <c r="D186" s="5" t="s">
        <v>621</v>
      </c>
      <c r="E186" s="11">
        <v>1</v>
      </c>
      <c r="F186" s="11">
        <v>0.5</v>
      </c>
      <c r="G186" s="11">
        <v>0.5</v>
      </c>
      <c r="H186" s="11">
        <v>2E-3</v>
      </c>
      <c r="I186" s="76"/>
      <c r="J186" s="23">
        <f t="shared" si="3"/>
        <v>2.0019999999999998</v>
      </c>
    </row>
    <row r="187" spans="1:10" ht="15.75">
      <c r="A187" s="23">
        <v>184</v>
      </c>
      <c r="B187" s="5" t="s">
        <v>512</v>
      </c>
      <c r="C187" s="11">
        <v>0</v>
      </c>
      <c r="D187" s="5" t="s">
        <v>622</v>
      </c>
      <c r="E187" s="11">
        <v>0.5</v>
      </c>
      <c r="F187" s="11">
        <v>0.5</v>
      </c>
      <c r="G187" s="11">
        <v>0.5</v>
      </c>
      <c r="H187" s="11">
        <v>2E-3</v>
      </c>
      <c r="I187" s="76"/>
      <c r="J187" s="23">
        <f t="shared" si="3"/>
        <v>1.502</v>
      </c>
    </row>
    <row r="188" spans="1:10" ht="15.75">
      <c r="A188" s="161">
        <v>185</v>
      </c>
      <c r="B188" s="5" t="s">
        <v>512</v>
      </c>
      <c r="C188" s="11">
        <v>0</v>
      </c>
      <c r="D188" s="5" t="s">
        <v>623</v>
      </c>
      <c r="E188" s="11">
        <v>0.5</v>
      </c>
      <c r="F188" s="11"/>
      <c r="G188" s="11"/>
      <c r="H188" s="11"/>
      <c r="I188" s="76"/>
      <c r="J188" s="23">
        <f t="shared" si="3"/>
        <v>0.5</v>
      </c>
    </row>
    <row r="189" spans="1:10" ht="15.75">
      <c r="A189" s="23">
        <v>186</v>
      </c>
      <c r="B189" s="5" t="s">
        <v>512</v>
      </c>
      <c r="C189" s="11">
        <v>0</v>
      </c>
      <c r="D189" s="5" t="s">
        <v>507</v>
      </c>
      <c r="E189" s="11">
        <v>1</v>
      </c>
      <c r="F189" s="11"/>
      <c r="G189" s="11"/>
      <c r="H189" s="11"/>
      <c r="I189" s="76"/>
      <c r="J189" s="23">
        <f t="shared" si="3"/>
        <v>1</v>
      </c>
    </row>
    <row r="190" spans="1:10" ht="15.75">
      <c r="A190" s="23">
        <v>187</v>
      </c>
      <c r="B190" s="5" t="s">
        <v>512</v>
      </c>
      <c r="C190" s="11">
        <v>0</v>
      </c>
      <c r="D190" s="5" t="s">
        <v>624</v>
      </c>
      <c r="E190" s="11">
        <v>1</v>
      </c>
      <c r="F190" s="11"/>
      <c r="G190" s="11"/>
      <c r="H190" s="11"/>
      <c r="I190" s="76"/>
      <c r="J190" s="23">
        <f t="shared" si="3"/>
        <v>1</v>
      </c>
    </row>
    <row r="191" spans="1:10" ht="15.75">
      <c r="A191" s="161">
        <v>188</v>
      </c>
      <c r="B191" s="5" t="s">
        <v>512</v>
      </c>
      <c r="C191" s="11">
        <v>0</v>
      </c>
      <c r="D191" s="5" t="s">
        <v>625</v>
      </c>
      <c r="E191" s="11">
        <v>1</v>
      </c>
      <c r="F191" s="11"/>
      <c r="G191" s="11"/>
      <c r="H191" s="11"/>
      <c r="I191" s="76"/>
      <c r="J191" s="23">
        <f t="shared" si="3"/>
        <v>1</v>
      </c>
    </row>
    <row r="192" spans="1:10" ht="15.75">
      <c r="A192" s="23">
        <v>189</v>
      </c>
      <c r="B192" s="5" t="s">
        <v>512</v>
      </c>
      <c r="C192" s="11">
        <v>0</v>
      </c>
      <c r="D192" s="5" t="s">
        <v>626</v>
      </c>
      <c r="E192" s="11">
        <v>1</v>
      </c>
      <c r="F192" s="11">
        <v>0.5</v>
      </c>
      <c r="G192" s="11">
        <v>0.5</v>
      </c>
      <c r="H192" s="11">
        <v>5.0000000000000001E-3</v>
      </c>
      <c r="I192" s="76"/>
      <c r="J192" s="23">
        <f t="shared" si="3"/>
        <v>2.0049999999999999</v>
      </c>
    </row>
    <row r="193" spans="1:10" ht="15.75">
      <c r="A193" s="23">
        <v>190</v>
      </c>
      <c r="B193" s="5" t="s">
        <v>512</v>
      </c>
      <c r="C193" s="11">
        <v>0</v>
      </c>
      <c r="D193" s="5" t="s">
        <v>627</v>
      </c>
      <c r="E193" s="11">
        <v>1</v>
      </c>
      <c r="F193" s="11">
        <v>0.5</v>
      </c>
      <c r="G193" s="11">
        <v>0.5</v>
      </c>
      <c r="H193" s="11">
        <v>2E-3</v>
      </c>
      <c r="I193" s="76"/>
      <c r="J193" s="23">
        <f t="shared" si="3"/>
        <v>2.0019999999999998</v>
      </c>
    </row>
    <row r="194" spans="1:10" ht="15.75">
      <c r="A194" s="161">
        <v>191</v>
      </c>
      <c r="B194" s="5" t="s">
        <v>512</v>
      </c>
      <c r="C194" s="11">
        <v>0</v>
      </c>
      <c r="D194" s="5" t="s">
        <v>628</v>
      </c>
      <c r="E194" s="11">
        <v>0.5</v>
      </c>
      <c r="F194" s="11">
        <v>0.5</v>
      </c>
      <c r="G194" s="11">
        <v>0.2</v>
      </c>
      <c r="H194" s="11">
        <v>2E-3</v>
      </c>
      <c r="I194" s="76"/>
      <c r="J194" s="23">
        <f t="shared" si="3"/>
        <v>1.202</v>
      </c>
    </row>
    <row r="195" spans="1:10" ht="15.75">
      <c r="A195" s="23">
        <v>192</v>
      </c>
      <c r="B195" s="5" t="s">
        <v>512</v>
      </c>
      <c r="C195" s="11">
        <v>0</v>
      </c>
      <c r="D195" s="5" t="s">
        <v>629</v>
      </c>
      <c r="E195" s="11">
        <v>1</v>
      </c>
      <c r="F195" s="11">
        <v>0.5</v>
      </c>
      <c r="G195" s="11">
        <v>0.2</v>
      </c>
      <c r="H195" s="11">
        <v>5.0000000000000001E-3</v>
      </c>
      <c r="I195" s="76"/>
      <c r="J195" s="23">
        <f t="shared" si="3"/>
        <v>1.7049999999999998</v>
      </c>
    </row>
    <row r="196" spans="1:10" ht="15.75">
      <c r="A196" s="23">
        <v>193</v>
      </c>
      <c r="B196" s="97" t="s">
        <v>658</v>
      </c>
      <c r="C196" s="76">
        <v>0</v>
      </c>
      <c r="D196" s="5" t="s">
        <v>771</v>
      </c>
      <c r="E196" s="121">
        <v>1</v>
      </c>
      <c r="F196" s="121"/>
      <c r="G196" s="121"/>
      <c r="H196" s="121"/>
      <c r="I196" s="121"/>
      <c r="J196" s="23">
        <f t="shared" ref="J196:J197" si="4">SUM(E196:I196)</f>
        <v>1</v>
      </c>
    </row>
    <row r="197" spans="1:10" ht="15.75">
      <c r="A197" s="121">
        <v>194</v>
      </c>
      <c r="B197" s="97" t="s">
        <v>828</v>
      </c>
      <c r="C197" s="121">
        <v>0</v>
      </c>
      <c r="D197" s="5" t="s">
        <v>68</v>
      </c>
      <c r="E197" s="121">
        <v>1</v>
      </c>
      <c r="F197" s="121"/>
      <c r="G197" s="121"/>
      <c r="H197" s="121"/>
      <c r="I197" s="121"/>
      <c r="J197" s="23">
        <f t="shared" si="4"/>
        <v>1</v>
      </c>
    </row>
    <row r="198" spans="1:10">
      <c r="A198" s="198" t="s">
        <v>0</v>
      </c>
      <c r="B198" s="198"/>
      <c r="C198" s="11">
        <v>804</v>
      </c>
      <c r="D198" s="6"/>
      <c r="E198" s="11">
        <f>SUM(E4:E197)</f>
        <v>930</v>
      </c>
      <c r="F198" s="121">
        <f t="shared" ref="E198:J198" si="5">SUM(F4:F197)</f>
        <v>320</v>
      </c>
      <c r="G198" s="121">
        <f t="shared" si="5"/>
        <v>452.9999999999996</v>
      </c>
      <c r="H198" s="121">
        <f t="shared" si="5"/>
        <v>9.4600000000000453</v>
      </c>
      <c r="I198" s="121">
        <f t="shared" si="5"/>
        <v>0</v>
      </c>
      <c r="J198" s="121">
        <f t="shared" si="5"/>
        <v>1712.459999999998</v>
      </c>
    </row>
    <row r="201" spans="1:10">
      <c r="B201" s="6" t="s">
        <v>94</v>
      </c>
      <c r="C201" s="11">
        <v>3</v>
      </c>
      <c r="F201" s="13" t="s">
        <v>98</v>
      </c>
    </row>
    <row r="202" spans="1:10">
      <c r="B202" s="153" t="s">
        <v>786</v>
      </c>
      <c r="C202" s="152">
        <v>2</v>
      </c>
    </row>
    <row r="203" spans="1:10">
      <c r="B203" s="6" t="s">
        <v>95</v>
      </c>
      <c r="C203" s="11">
        <v>9</v>
      </c>
    </row>
    <row r="204" spans="1:10">
      <c r="B204" s="6" t="s">
        <v>96</v>
      </c>
      <c r="C204" s="11">
        <v>39</v>
      </c>
      <c r="E204"/>
      <c r="F204"/>
      <c r="G204"/>
      <c r="H204"/>
      <c r="I204"/>
      <c r="J204"/>
    </row>
    <row r="205" spans="1:10">
      <c r="B205" s="6" t="s">
        <v>97</v>
      </c>
      <c r="C205" s="11">
        <v>9</v>
      </c>
    </row>
    <row r="206" spans="1:10" ht="15.75">
      <c r="B206" s="74" t="s">
        <v>511</v>
      </c>
      <c r="C206" s="11">
        <v>3</v>
      </c>
    </row>
    <row r="207" spans="1:10" ht="15.75">
      <c r="B207" s="75" t="s">
        <v>512</v>
      </c>
      <c r="C207" s="11">
        <v>127</v>
      </c>
    </row>
    <row r="208" spans="1:10" ht="15.75">
      <c r="B208" s="75" t="s">
        <v>773</v>
      </c>
      <c r="C208" s="131">
        <v>2</v>
      </c>
    </row>
    <row r="209" spans="2:3">
      <c r="B209" s="6" t="s">
        <v>0</v>
      </c>
      <c r="C209" s="11">
        <f>SUM(C201:C208)</f>
        <v>194</v>
      </c>
    </row>
  </sheetData>
  <mergeCells count="8">
    <mergeCell ref="A198:B198"/>
    <mergeCell ref="A1:K1"/>
    <mergeCell ref="A2:A3"/>
    <mergeCell ref="B2:B3"/>
    <mergeCell ref="C2:H2"/>
    <mergeCell ref="J2:J3"/>
    <mergeCell ref="K2:K3"/>
    <mergeCell ref="I2:I3"/>
  </mergeCells>
  <pageMargins left="0.39370078740157483" right="0.19685039370078741" top="0.19685039370078741" bottom="0.19685039370078741" header="0.31496062992125984" footer="0.15748031496062992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topLeftCell="A61" workbookViewId="0">
      <selection activeCell="I76" sqref="I76"/>
    </sheetView>
  </sheetViews>
  <sheetFormatPr defaultColWidth="9.140625" defaultRowHeight="13.5" customHeight="1"/>
  <cols>
    <col min="1" max="1" width="5.7109375" style="13" customWidth="1"/>
    <col min="2" max="2" width="45" customWidth="1"/>
    <col min="3" max="3" width="4.85546875" customWidth="1"/>
    <col min="4" max="4" width="6.42578125" style="13" customWidth="1"/>
    <col min="5" max="5" width="15.42578125" style="13" customWidth="1"/>
    <col min="11" max="11" width="15.140625" customWidth="1"/>
    <col min="12" max="12" width="10.7109375" bestFit="1" customWidth="1"/>
  </cols>
  <sheetData>
    <row r="1" spans="1:11" ht="15" customHeight="1">
      <c r="A1" s="208" t="s">
        <v>821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</row>
    <row r="2" spans="1:11" ht="12.75" customHeight="1">
      <c r="A2" s="202" t="s">
        <v>12</v>
      </c>
      <c r="B2" s="209" t="s">
        <v>13</v>
      </c>
      <c r="C2" s="60"/>
      <c r="D2" s="210" t="s">
        <v>14</v>
      </c>
      <c r="E2" s="211"/>
      <c r="F2" s="211"/>
      <c r="G2" s="211"/>
      <c r="H2" s="211"/>
      <c r="I2" s="212"/>
      <c r="J2" s="206" t="s">
        <v>509</v>
      </c>
      <c r="K2" s="204" t="s">
        <v>15</v>
      </c>
    </row>
    <row r="3" spans="1:11" ht="15" customHeight="1">
      <c r="A3" s="198"/>
      <c r="B3" s="209"/>
      <c r="C3" s="32"/>
      <c r="D3" s="120" t="s">
        <v>3</v>
      </c>
      <c r="E3" s="9" t="s">
        <v>2</v>
      </c>
      <c r="F3" s="10" t="s">
        <v>16</v>
      </c>
      <c r="G3" s="10" t="s">
        <v>18</v>
      </c>
      <c r="H3" s="10" t="s">
        <v>17</v>
      </c>
      <c r="I3" s="10" t="s">
        <v>19</v>
      </c>
      <c r="J3" s="207"/>
      <c r="K3" s="203"/>
    </row>
    <row r="4" spans="1:11" ht="13.5" customHeight="1">
      <c r="A4" s="76">
        <v>1</v>
      </c>
      <c r="B4" s="63" t="s">
        <v>354</v>
      </c>
      <c r="C4" s="90" t="s">
        <v>300</v>
      </c>
      <c r="D4" s="121"/>
      <c r="E4" s="11" t="s">
        <v>383</v>
      </c>
      <c r="F4" s="11">
        <v>3</v>
      </c>
      <c r="G4" s="11">
        <v>2</v>
      </c>
      <c r="H4" s="11">
        <v>2</v>
      </c>
      <c r="I4" s="16">
        <v>0.01</v>
      </c>
      <c r="J4" s="16"/>
      <c r="K4" s="11">
        <f>SUM(F4:J4)</f>
        <v>7.01</v>
      </c>
    </row>
    <row r="5" spans="1:11" ht="13.5" customHeight="1">
      <c r="A5" s="76">
        <v>2</v>
      </c>
      <c r="B5" s="17" t="s">
        <v>364</v>
      </c>
      <c r="C5" s="90" t="s">
        <v>300</v>
      </c>
      <c r="D5" s="121"/>
      <c r="E5" s="11" t="s">
        <v>383</v>
      </c>
      <c r="F5" s="11">
        <v>3</v>
      </c>
      <c r="G5" s="11">
        <v>1</v>
      </c>
      <c r="H5" s="11">
        <v>2</v>
      </c>
      <c r="I5" s="16">
        <v>0.01</v>
      </c>
      <c r="J5" s="16">
        <v>5</v>
      </c>
      <c r="K5" s="121">
        <f t="shared" ref="K5:K69" si="0">SUM(F5:J5)</f>
        <v>11.01</v>
      </c>
    </row>
    <row r="6" spans="1:11" ht="13.5" customHeight="1">
      <c r="A6" s="171">
        <v>3</v>
      </c>
      <c r="B6" s="17" t="s">
        <v>362</v>
      </c>
      <c r="C6" s="90" t="s">
        <v>300</v>
      </c>
      <c r="D6" s="121"/>
      <c r="E6" s="11" t="s">
        <v>383</v>
      </c>
      <c r="F6" s="11">
        <v>1</v>
      </c>
      <c r="G6" s="11">
        <v>1</v>
      </c>
      <c r="H6" s="11">
        <v>5</v>
      </c>
      <c r="I6" s="16">
        <v>0.01</v>
      </c>
      <c r="J6" s="16"/>
      <c r="K6" s="121">
        <f t="shared" si="0"/>
        <v>7.01</v>
      </c>
    </row>
    <row r="7" spans="1:11" ht="13.5" customHeight="1">
      <c r="A7" s="171">
        <v>4</v>
      </c>
      <c r="B7" s="94" t="s">
        <v>346</v>
      </c>
      <c r="C7" s="61" t="s">
        <v>228</v>
      </c>
      <c r="D7" s="70">
        <v>6</v>
      </c>
      <c r="E7" s="11" t="s">
        <v>383</v>
      </c>
      <c r="F7" s="11">
        <v>8</v>
      </c>
      <c r="G7" s="11">
        <v>3</v>
      </c>
      <c r="H7" s="11">
        <v>2</v>
      </c>
      <c r="I7" s="16">
        <v>0.02</v>
      </c>
      <c r="J7" s="16"/>
      <c r="K7" s="121">
        <f t="shared" si="0"/>
        <v>13.02</v>
      </c>
    </row>
    <row r="8" spans="1:11" ht="13.5" customHeight="1">
      <c r="A8" s="171">
        <v>5</v>
      </c>
      <c r="B8" s="17" t="s">
        <v>370</v>
      </c>
      <c r="C8" s="90" t="s">
        <v>309</v>
      </c>
      <c r="D8" s="121"/>
      <c r="E8" s="11" t="s">
        <v>383</v>
      </c>
      <c r="F8" s="11">
        <v>1</v>
      </c>
      <c r="G8" s="11">
        <v>0.5</v>
      </c>
      <c r="H8" s="11">
        <v>0.5</v>
      </c>
      <c r="I8" s="16">
        <v>0.01</v>
      </c>
      <c r="J8" s="16"/>
      <c r="K8" s="121">
        <f t="shared" si="0"/>
        <v>2.0099999999999998</v>
      </c>
    </row>
    <row r="9" spans="1:11" ht="13.5" customHeight="1">
      <c r="A9" s="171">
        <v>6</v>
      </c>
      <c r="B9" s="48" t="s">
        <v>345</v>
      </c>
      <c r="C9" s="61" t="s">
        <v>228</v>
      </c>
      <c r="D9" s="66">
        <v>5</v>
      </c>
      <c r="E9" s="11" t="s">
        <v>383</v>
      </c>
      <c r="F9" s="11">
        <v>6</v>
      </c>
      <c r="G9" s="11">
        <v>2</v>
      </c>
      <c r="H9" s="11">
        <v>2</v>
      </c>
      <c r="I9" s="16">
        <v>0.02</v>
      </c>
      <c r="J9" s="16"/>
      <c r="K9" s="121">
        <f t="shared" si="0"/>
        <v>10.02</v>
      </c>
    </row>
    <row r="10" spans="1:11" ht="13.5" customHeight="1">
      <c r="A10" s="171">
        <v>7</v>
      </c>
      <c r="B10" s="63" t="s">
        <v>348</v>
      </c>
      <c r="C10" s="90" t="s">
        <v>300</v>
      </c>
      <c r="D10" s="121"/>
      <c r="E10" s="11" t="s">
        <v>383</v>
      </c>
      <c r="F10" s="11">
        <v>1</v>
      </c>
      <c r="G10" s="11">
        <v>2</v>
      </c>
      <c r="H10" s="11">
        <v>2</v>
      </c>
      <c r="I10" s="16">
        <v>0.01</v>
      </c>
      <c r="J10" s="16">
        <v>5</v>
      </c>
      <c r="K10" s="121">
        <f t="shared" si="0"/>
        <v>10.01</v>
      </c>
    </row>
    <row r="11" spans="1:11" ht="13.5" customHeight="1">
      <c r="A11" s="171">
        <v>8</v>
      </c>
      <c r="B11" s="93" t="s">
        <v>350</v>
      </c>
      <c r="C11" s="90" t="s">
        <v>300</v>
      </c>
      <c r="D11" s="121"/>
      <c r="E11" s="11" t="s">
        <v>383</v>
      </c>
      <c r="F11" s="11">
        <v>1</v>
      </c>
      <c r="G11" s="11">
        <v>1</v>
      </c>
      <c r="H11" s="11">
        <v>2</v>
      </c>
      <c r="I11" s="16">
        <v>0.01</v>
      </c>
      <c r="J11" s="16"/>
      <c r="K11" s="121">
        <f t="shared" si="0"/>
        <v>4.01</v>
      </c>
    </row>
    <row r="12" spans="1:11" ht="13.5" customHeight="1">
      <c r="A12" s="171">
        <v>9</v>
      </c>
      <c r="B12" s="63" t="s">
        <v>366</v>
      </c>
      <c r="C12" s="90" t="s">
        <v>300</v>
      </c>
      <c r="D12" s="121"/>
      <c r="E12" s="11" t="s">
        <v>383</v>
      </c>
      <c r="F12" s="11">
        <v>3</v>
      </c>
      <c r="G12" s="11">
        <v>1</v>
      </c>
      <c r="H12" s="11">
        <v>2</v>
      </c>
      <c r="I12" s="16">
        <v>0.01</v>
      </c>
      <c r="J12" s="16">
        <v>0</v>
      </c>
      <c r="K12" s="121">
        <f t="shared" si="0"/>
        <v>6.01</v>
      </c>
    </row>
    <row r="13" spans="1:11" ht="13.5" customHeight="1">
      <c r="A13" s="171">
        <v>10</v>
      </c>
      <c r="B13" s="166" t="s">
        <v>796</v>
      </c>
      <c r="C13" s="165" t="s">
        <v>300</v>
      </c>
      <c r="D13" s="16"/>
      <c r="E13" s="164" t="s">
        <v>383</v>
      </c>
      <c r="F13" s="164">
        <v>1</v>
      </c>
      <c r="G13" s="164">
        <v>1</v>
      </c>
      <c r="H13" s="164">
        <v>2</v>
      </c>
      <c r="I13" s="16">
        <v>0.01</v>
      </c>
      <c r="J13" s="16"/>
      <c r="K13" s="164">
        <f t="shared" ref="K13" si="1">SUM(F13:J13)</f>
        <v>4.01</v>
      </c>
    </row>
    <row r="14" spans="1:11" ht="13.5" customHeight="1">
      <c r="A14" s="171">
        <v>11</v>
      </c>
      <c r="B14" s="64" t="s">
        <v>386</v>
      </c>
      <c r="C14" s="61" t="s">
        <v>228</v>
      </c>
      <c r="D14" s="71">
        <v>20</v>
      </c>
      <c r="E14" s="11" t="s">
        <v>384</v>
      </c>
      <c r="F14" s="121">
        <v>15</v>
      </c>
      <c r="G14" s="121">
        <v>16</v>
      </c>
      <c r="H14" s="121">
        <v>9</v>
      </c>
      <c r="I14" s="121">
        <v>0.5</v>
      </c>
      <c r="J14" s="121">
        <v>3</v>
      </c>
      <c r="K14" s="121">
        <f t="shared" si="0"/>
        <v>43.5</v>
      </c>
    </row>
    <row r="15" spans="1:11" ht="13.5" customHeight="1">
      <c r="A15" s="171">
        <v>12</v>
      </c>
      <c r="B15" s="63" t="s">
        <v>387</v>
      </c>
      <c r="C15" s="61" t="s">
        <v>228</v>
      </c>
      <c r="D15" s="71">
        <v>4</v>
      </c>
      <c r="E15" s="11" t="s">
        <v>385</v>
      </c>
      <c r="F15" s="11">
        <v>1</v>
      </c>
      <c r="G15" s="11">
        <v>1</v>
      </c>
      <c r="H15" s="11">
        <v>2</v>
      </c>
      <c r="I15" s="16">
        <v>0.01</v>
      </c>
      <c r="J15" s="16"/>
      <c r="K15" s="121">
        <f t="shared" si="0"/>
        <v>4.01</v>
      </c>
    </row>
    <row r="16" spans="1:11" ht="13.5" customHeight="1">
      <c r="A16" s="171">
        <v>13</v>
      </c>
      <c r="B16" s="97" t="s">
        <v>650</v>
      </c>
      <c r="C16" s="104" t="s">
        <v>300</v>
      </c>
      <c r="D16" s="136"/>
      <c r="E16" s="106" t="s">
        <v>383</v>
      </c>
      <c r="F16" s="121">
        <v>1</v>
      </c>
      <c r="G16" s="121">
        <v>1</v>
      </c>
      <c r="H16" s="121">
        <v>2</v>
      </c>
      <c r="I16" s="16">
        <v>0.01</v>
      </c>
      <c r="J16" s="16"/>
      <c r="K16" s="121">
        <f t="shared" si="0"/>
        <v>4.01</v>
      </c>
    </row>
    <row r="17" spans="1:11" ht="13.5" customHeight="1">
      <c r="A17" s="171">
        <v>14</v>
      </c>
      <c r="B17" s="63" t="s">
        <v>20</v>
      </c>
      <c r="C17" s="95" t="s">
        <v>228</v>
      </c>
      <c r="D17" s="71">
        <v>8</v>
      </c>
      <c r="E17" s="11" t="s">
        <v>383</v>
      </c>
      <c r="F17" s="11">
        <v>4</v>
      </c>
      <c r="G17" s="11">
        <v>4</v>
      </c>
      <c r="H17" s="11">
        <v>2</v>
      </c>
      <c r="I17" s="16">
        <v>0.01</v>
      </c>
      <c r="J17" s="16">
        <v>5</v>
      </c>
      <c r="K17" s="121">
        <f t="shared" si="0"/>
        <v>15.01</v>
      </c>
    </row>
    <row r="18" spans="1:11" ht="13.5" customHeight="1">
      <c r="A18" s="171">
        <v>15</v>
      </c>
      <c r="B18" s="63" t="s">
        <v>367</v>
      </c>
      <c r="C18" s="62" t="s">
        <v>300</v>
      </c>
      <c r="D18" s="16"/>
      <c r="E18" s="11" t="s">
        <v>383</v>
      </c>
      <c r="F18" s="11">
        <v>3</v>
      </c>
      <c r="G18" s="11">
        <v>1</v>
      </c>
      <c r="H18" s="11">
        <v>2</v>
      </c>
      <c r="I18" s="16">
        <v>0.01</v>
      </c>
      <c r="J18" s="16">
        <v>0</v>
      </c>
      <c r="K18" s="121">
        <f t="shared" si="0"/>
        <v>6.01</v>
      </c>
    </row>
    <row r="19" spans="1:11" ht="13.5" customHeight="1">
      <c r="A19" s="171">
        <v>16</v>
      </c>
      <c r="B19" s="63" t="s">
        <v>368</v>
      </c>
      <c r="C19" s="62" t="s">
        <v>300</v>
      </c>
      <c r="D19" s="16"/>
      <c r="E19" s="11" t="s">
        <v>383</v>
      </c>
      <c r="F19" s="11">
        <v>2</v>
      </c>
      <c r="G19" s="11">
        <v>2</v>
      </c>
      <c r="H19" s="11">
        <v>1</v>
      </c>
      <c r="I19" s="16">
        <v>0.01</v>
      </c>
      <c r="J19" s="16"/>
      <c r="K19" s="121">
        <f t="shared" si="0"/>
        <v>5.01</v>
      </c>
    </row>
    <row r="20" spans="1:11" ht="13.5" customHeight="1">
      <c r="A20" s="171">
        <v>17</v>
      </c>
      <c r="B20" s="63" t="s">
        <v>365</v>
      </c>
      <c r="C20" s="62" t="s">
        <v>300</v>
      </c>
      <c r="D20" s="16"/>
      <c r="E20" s="11" t="s">
        <v>383</v>
      </c>
      <c r="F20" s="11">
        <v>2</v>
      </c>
      <c r="G20" s="11">
        <v>2</v>
      </c>
      <c r="H20" s="11">
        <v>1</v>
      </c>
      <c r="I20" s="16">
        <v>0.01</v>
      </c>
      <c r="J20" s="16"/>
      <c r="K20" s="121">
        <f t="shared" si="0"/>
        <v>5.01</v>
      </c>
    </row>
    <row r="21" spans="1:11" ht="13.5" customHeight="1">
      <c r="A21" s="171">
        <v>18</v>
      </c>
      <c r="B21" s="17" t="s">
        <v>361</v>
      </c>
      <c r="C21" s="62" t="s">
        <v>300</v>
      </c>
      <c r="D21" s="16"/>
      <c r="E21" s="11" t="s">
        <v>383</v>
      </c>
      <c r="F21" s="11">
        <v>2</v>
      </c>
      <c r="G21" s="11">
        <v>2</v>
      </c>
      <c r="H21" s="11">
        <v>2</v>
      </c>
      <c r="I21" s="16">
        <v>0.01</v>
      </c>
      <c r="J21" s="16"/>
      <c r="K21" s="121">
        <f t="shared" si="0"/>
        <v>6.01</v>
      </c>
    </row>
    <row r="22" spans="1:11" ht="13.5" customHeight="1">
      <c r="A22" s="171">
        <v>19</v>
      </c>
      <c r="B22" s="100" t="s">
        <v>652</v>
      </c>
      <c r="C22" s="103" t="s">
        <v>228</v>
      </c>
      <c r="D22" s="16">
        <v>25</v>
      </c>
      <c r="E22" s="11" t="s">
        <v>383</v>
      </c>
      <c r="F22" s="121">
        <v>15</v>
      </c>
      <c r="G22" s="121">
        <v>16</v>
      </c>
      <c r="H22" s="121">
        <v>9</v>
      </c>
      <c r="I22" s="121">
        <v>0.5</v>
      </c>
      <c r="J22" s="121">
        <v>3</v>
      </c>
      <c r="K22" s="121">
        <f t="shared" si="0"/>
        <v>43.5</v>
      </c>
    </row>
    <row r="23" spans="1:11" ht="13.5" customHeight="1">
      <c r="A23" s="171">
        <v>20</v>
      </c>
      <c r="B23" s="99" t="s">
        <v>653</v>
      </c>
      <c r="C23" s="103" t="s">
        <v>407</v>
      </c>
      <c r="D23" s="16"/>
      <c r="E23" s="11" t="s">
        <v>383</v>
      </c>
      <c r="F23" s="121">
        <v>2</v>
      </c>
      <c r="G23" s="121">
        <v>1</v>
      </c>
      <c r="H23" s="122"/>
      <c r="I23" s="16">
        <v>0.01</v>
      </c>
      <c r="J23" s="16"/>
      <c r="K23" s="121">
        <f t="shared" si="0"/>
        <v>3.01</v>
      </c>
    </row>
    <row r="24" spans="1:11" ht="13.5" customHeight="1">
      <c r="A24" s="171">
        <v>21</v>
      </c>
      <c r="B24" s="17" t="s">
        <v>373</v>
      </c>
      <c r="C24" s="62" t="s">
        <v>309</v>
      </c>
      <c r="D24" s="16"/>
      <c r="E24" s="11" t="s">
        <v>383</v>
      </c>
      <c r="F24" s="11">
        <v>2</v>
      </c>
      <c r="G24" s="11">
        <v>0.5</v>
      </c>
      <c r="H24" s="11">
        <v>0.5</v>
      </c>
      <c r="I24" s="16">
        <v>0.01</v>
      </c>
      <c r="J24" s="16"/>
      <c r="K24" s="121">
        <f t="shared" si="0"/>
        <v>3.01</v>
      </c>
    </row>
    <row r="25" spans="1:11" ht="13.5" customHeight="1">
      <c r="A25" s="171">
        <v>22</v>
      </c>
      <c r="B25" s="63" t="s">
        <v>376</v>
      </c>
      <c r="C25" s="62" t="s">
        <v>407</v>
      </c>
      <c r="D25" s="16"/>
      <c r="E25" s="11" t="s">
        <v>383</v>
      </c>
      <c r="F25" s="11">
        <v>2</v>
      </c>
      <c r="G25" s="11">
        <v>1</v>
      </c>
      <c r="H25" s="90"/>
      <c r="I25" s="16">
        <v>0.01</v>
      </c>
      <c r="J25" s="16"/>
      <c r="K25" s="121">
        <f t="shared" si="0"/>
        <v>3.01</v>
      </c>
    </row>
    <row r="26" spans="1:11" ht="13.5" customHeight="1">
      <c r="A26" s="171">
        <v>23</v>
      </c>
      <c r="B26" s="63" t="s">
        <v>371</v>
      </c>
      <c r="C26" s="90" t="s">
        <v>309</v>
      </c>
      <c r="D26" s="121"/>
      <c r="E26" s="11" t="s">
        <v>383</v>
      </c>
      <c r="F26" s="11">
        <v>2</v>
      </c>
      <c r="G26" s="11">
        <v>0.5</v>
      </c>
      <c r="H26" s="89">
        <v>0.5</v>
      </c>
      <c r="I26" s="16">
        <v>0.01</v>
      </c>
      <c r="J26" s="16"/>
      <c r="K26" s="121">
        <f t="shared" si="0"/>
        <v>3.01</v>
      </c>
    </row>
    <row r="27" spans="1:11" ht="13.5" customHeight="1">
      <c r="A27" s="171">
        <v>24</v>
      </c>
      <c r="B27" s="63" t="s">
        <v>342</v>
      </c>
      <c r="C27" s="61" t="s">
        <v>228</v>
      </c>
      <c r="D27" s="66">
        <v>6</v>
      </c>
      <c r="E27" s="11" t="s">
        <v>383</v>
      </c>
      <c r="F27" s="11">
        <v>7</v>
      </c>
      <c r="G27" s="11">
        <v>4</v>
      </c>
      <c r="H27" s="11">
        <v>2</v>
      </c>
      <c r="I27" s="16">
        <v>0.02</v>
      </c>
      <c r="J27" s="16"/>
      <c r="K27" s="121">
        <f t="shared" si="0"/>
        <v>13.02</v>
      </c>
    </row>
    <row r="28" spans="1:11" ht="13.5" customHeight="1">
      <c r="A28" s="171">
        <v>25</v>
      </c>
      <c r="B28" s="63" t="s">
        <v>343</v>
      </c>
      <c r="C28" s="61" t="s">
        <v>228</v>
      </c>
      <c r="D28" s="66">
        <v>10</v>
      </c>
      <c r="E28" s="11" t="s">
        <v>383</v>
      </c>
      <c r="F28" s="11">
        <v>5</v>
      </c>
      <c r="G28" s="11">
        <v>3</v>
      </c>
      <c r="H28" s="11">
        <v>3</v>
      </c>
      <c r="I28" s="16">
        <v>0.01</v>
      </c>
      <c r="J28" s="16">
        <v>7</v>
      </c>
      <c r="K28" s="121">
        <f t="shared" si="0"/>
        <v>18.009999999999998</v>
      </c>
    </row>
    <row r="29" spans="1:11" ht="13.5" customHeight="1">
      <c r="A29" s="171">
        <v>26</v>
      </c>
      <c r="B29" s="17" t="s">
        <v>356</v>
      </c>
      <c r="C29" s="90" t="s">
        <v>300</v>
      </c>
      <c r="D29" s="121"/>
      <c r="E29" s="11" t="s">
        <v>383</v>
      </c>
      <c r="F29" s="11">
        <v>1</v>
      </c>
      <c r="G29" s="11">
        <v>1</v>
      </c>
      <c r="H29" s="89">
        <v>1</v>
      </c>
      <c r="I29" s="16">
        <v>0.01</v>
      </c>
      <c r="J29" s="16"/>
      <c r="K29" s="121">
        <f t="shared" si="0"/>
        <v>3.01</v>
      </c>
    </row>
    <row r="30" spans="1:11" ht="13.5" customHeight="1">
      <c r="A30" s="171">
        <v>27</v>
      </c>
      <c r="B30" s="63" t="s">
        <v>378</v>
      </c>
      <c r="C30" s="90" t="s">
        <v>407</v>
      </c>
      <c r="D30" s="121"/>
      <c r="E30" s="11" t="s">
        <v>383</v>
      </c>
      <c r="F30" s="11">
        <v>2</v>
      </c>
      <c r="G30" s="11">
        <v>2</v>
      </c>
      <c r="H30" s="90"/>
      <c r="I30" s="16">
        <v>0.01</v>
      </c>
      <c r="J30" s="16"/>
      <c r="K30" s="121">
        <f t="shared" si="0"/>
        <v>4.01</v>
      </c>
    </row>
    <row r="31" spans="1:11" ht="13.5" customHeight="1">
      <c r="A31" s="171">
        <v>28</v>
      </c>
      <c r="B31" s="17" t="s">
        <v>357</v>
      </c>
      <c r="C31" s="90" t="s">
        <v>300</v>
      </c>
      <c r="D31" s="121"/>
      <c r="E31" s="11" t="s">
        <v>383</v>
      </c>
      <c r="F31" s="11">
        <v>1</v>
      </c>
      <c r="G31" s="11">
        <v>2</v>
      </c>
      <c r="H31" s="11">
        <v>2</v>
      </c>
      <c r="I31" s="16">
        <v>0.01</v>
      </c>
      <c r="J31" s="16">
        <v>5</v>
      </c>
      <c r="K31" s="121">
        <f t="shared" si="0"/>
        <v>10.01</v>
      </c>
    </row>
    <row r="32" spans="1:11" ht="13.5" customHeight="1">
      <c r="A32" s="171">
        <v>29</v>
      </c>
      <c r="B32" s="166" t="s">
        <v>793</v>
      </c>
      <c r="C32" s="163" t="s">
        <v>407</v>
      </c>
      <c r="D32" s="162"/>
      <c r="E32" s="162" t="s">
        <v>383</v>
      </c>
      <c r="F32" s="162">
        <v>2</v>
      </c>
      <c r="G32" s="162">
        <v>2</v>
      </c>
      <c r="H32" s="163"/>
      <c r="I32" s="16">
        <v>0.01</v>
      </c>
      <c r="J32" s="16"/>
      <c r="K32" s="162">
        <f t="shared" ref="K32" si="2">SUM(F32:J32)</f>
        <v>4.01</v>
      </c>
    </row>
    <row r="33" spans="1:11" ht="13.5" customHeight="1">
      <c r="A33" s="171">
        <v>30</v>
      </c>
      <c r="B33" s="63" t="s">
        <v>341</v>
      </c>
      <c r="C33" s="61" t="s">
        <v>228</v>
      </c>
      <c r="D33" s="66">
        <v>12</v>
      </c>
      <c r="E33" s="11" t="s">
        <v>383</v>
      </c>
      <c r="F33" s="11">
        <v>6</v>
      </c>
      <c r="G33" s="11">
        <v>3</v>
      </c>
      <c r="H33" s="11">
        <v>2</v>
      </c>
      <c r="I33" s="16">
        <v>0.4</v>
      </c>
      <c r="J33" s="16"/>
      <c r="K33" s="121">
        <f t="shared" si="0"/>
        <v>11.4</v>
      </c>
    </row>
    <row r="34" spans="1:11" ht="13.5" customHeight="1">
      <c r="A34" s="171">
        <v>31</v>
      </c>
      <c r="B34" s="17" t="s">
        <v>375</v>
      </c>
      <c r="C34" s="90" t="s">
        <v>407</v>
      </c>
      <c r="D34" s="121"/>
      <c r="E34" s="11" t="s">
        <v>383</v>
      </c>
      <c r="F34" s="11">
        <v>3</v>
      </c>
      <c r="G34" s="11">
        <v>1</v>
      </c>
      <c r="H34" s="90"/>
      <c r="I34" s="16">
        <v>0.01</v>
      </c>
      <c r="J34" s="16"/>
      <c r="K34" s="121">
        <f t="shared" si="0"/>
        <v>4.01</v>
      </c>
    </row>
    <row r="35" spans="1:11" ht="13.5" customHeight="1">
      <c r="A35" s="171">
        <v>32</v>
      </c>
      <c r="B35" s="17" t="s">
        <v>351</v>
      </c>
      <c r="C35" s="90" t="s">
        <v>300</v>
      </c>
      <c r="D35" s="121"/>
      <c r="E35" s="11" t="s">
        <v>383</v>
      </c>
      <c r="F35" s="11">
        <v>1</v>
      </c>
      <c r="G35" s="11">
        <v>2</v>
      </c>
      <c r="H35" s="89">
        <v>2</v>
      </c>
      <c r="I35" s="16">
        <v>0.01</v>
      </c>
      <c r="J35" s="16">
        <v>0</v>
      </c>
      <c r="K35" s="121">
        <f t="shared" si="0"/>
        <v>5.01</v>
      </c>
    </row>
    <row r="36" spans="1:11" ht="13.5" customHeight="1">
      <c r="A36" s="171">
        <v>33</v>
      </c>
      <c r="B36" s="65" t="s">
        <v>352</v>
      </c>
      <c r="C36" s="90" t="s">
        <v>300</v>
      </c>
      <c r="D36" s="121"/>
      <c r="E36" s="11" t="s">
        <v>383</v>
      </c>
      <c r="F36" s="11">
        <v>2</v>
      </c>
      <c r="G36" s="11">
        <v>2</v>
      </c>
      <c r="H36" s="11">
        <v>2</v>
      </c>
      <c r="I36" s="16">
        <v>0.01</v>
      </c>
      <c r="J36" s="16">
        <v>5</v>
      </c>
      <c r="K36" s="121">
        <f t="shared" si="0"/>
        <v>11.01</v>
      </c>
    </row>
    <row r="37" spans="1:11" ht="13.5" customHeight="1">
      <c r="A37" s="171">
        <v>34</v>
      </c>
      <c r="B37" s="64" t="s">
        <v>388</v>
      </c>
      <c r="C37" s="6" t="s">
        <v>300</v>
      </c>
      <c r="D37" s="121"/>
      <c r="E37" s="11" t="s">
        <v>384</v>
      </c>
      <c r="F37" s="11">
        <v>3</v>
      </c>
      <c r="G37" s="11">
        <v>2</v>
      </c>
      <c r="H37" s="11">
        <v>3</v>
      </c>
      <c r="I37" s="16">
        <v>0.01</v>
      </c>
      <c r="J37" s="16"/>
      <c r="K37" s="121">
        <f t="shared" si="0"/>
        <v>8.01</v>
      </c>
    </row>
    <row r="38" spans="1:11" ht="13.5" customHeight="1">
      <c r="A38" s="171">
        <v>35</v>
      </c>
      <c r="B38" s="64" t="s">
        <v>390</v>
      </c>
      <c r="C38" s="6" t="s">
        <v>300</v>
      </c>
      <c r="D38" s="121"/>
      <c r="E38" s="11" t="s">
        <v>384</v>
      </c>
      <c r="F38" s="11">
        <v>2</v>
      </c>
      <c r="G38" s="11">
        <v>1</v>
      </c>
      <c r="H38" s="11">
        <v>2</v>
      </c>
      <c r="I38" s="16">
        <v>0.01</v>
      </c>
      <c r="J38" s="16"/>
      <c r="K38" s="121">
        <f t="shared" si="0"/>
        <v>5.01</v>
      </c>
    </row>
    <row r="39" spans="1:11" ht="13.5" customHeight="1">
      <c r="A39" s="171">
        <v>36</v>
      </c>
      <c r="B39" s="64" t="s">
        <v>391</v>
      </c>
      <c r="C39" s="6" t="s">
        <v>300</v>
      </c>
      <c r="D39" s="121"/>
      <c r="E39" s="11" t="s">
        <v>384</v>
      </c>
      <c r="F39" s="11">
        <v>3</v>
      </c>
      <c r="G39" s="11">
        <v>1</v>
      </c>
      <c r="H39" s="11">
        <v>2</v>
      </c>
      <c r="I39" s="16">
        <v>0.01</v>
      </c>
      <c r="J39" s="16"/>
      <c r="K39" s="121">
        <f t="shared" si="0"/>
        <v>6.01</v>
      </c>
    </row>
    <row r="40" spans="1:11" ht="13.5" customHeight="1">
      <c r="A40" s="171">
        <v>37</v>
      </c>
      <c r="B40" s="64" t="s">
        <v>392</v>
      </c>
      <c r="C40" s="6" t="s">
        <v>300</v>
      </c>
      <c r="D40" s="121"/>
      <c r="E40" s="11" t="s">
        <v>384</v>
      </c>
      <c r="F40" s="11">
        <v>2</v>
      </c>
      <c r="G40" s="11">
        <v>2</v>
      </c>
      <c r="H40" s="11">
        <v>5</v>
      </c>
      <c r="I40" s="16">
        <v>0.01</v>
      </c>
      <c r="J40" s="16"/>
      <c r="K40" s="121">
        <f t="shared" si="0"/>
        <v>9.01</v>
      </c>
    </row>
    <row r="41" spans="1:11" ht="13.5" customHeight="1">
      <c r="A41" s="171">
        <v>38</v>
      </c>
      <c r="B41" s="18" t="s">
        <v>394</v>
      </c>
      <c r="C41" s="6" t="s">
        <v>300</v>
      </c>
      <c r="D41" s="121"/>
      <c r="E41" s="11" t="s">
        <v>384</v>
      </c>
      <c r="F41" s="11">
        <v>2</v>
      </c>
      <c r="G41" s="11">
        <v>1</v>
      </c>
      <c r="H41" s="11">
        <v>2</v>
      </c>
      <c r="I41" s="16">
        <v>0.01</v>
      </c>
      <c r="J41" s="16"/>
      <c r="K41" s="121">
        <f t="shared" si="0"/>
        <v>5.01</v>
      </c>
    </row>
    <row r="42" spans="1:11" ht="13.5" customHeight="1">
      <c r="A42" s="171">
        <v>39</v>
      </c>
      <c r="B42" s="61" t="s">
        <v>395</v>
      </c>
      <c r="C42" s="6" t="s">
        <v>300</v>
      </c>
      <c r="D42" s="121"/>
      <c r="E42" s="11" t="s">
        <v>384</v>
      </c>
      <c r="F42" s="11">
        <v>4</v>
      </c>
      <c r="G42" s="11">
        <v>1</v>
      </c>
      <c r="H42" s="11">
        <v>2</v>
      </c>
      <c r="I42" s="16">
        <v>0.01</v>
      </c>
      <c r="J42" s="16"/>
      <c r="K42" s="121">
        <f t="shared" si="0"/>
        <v>7.01</v>
      </c>
    </row>
    <row r="43" spans="1:11" ht="13.5" customHeight="1">
      <c r="A43" s="171">
        <v>40</v>
      </c>
      <c r="B43" s="61" t="s">
        <v>396</v>
      </c>
      <c r="C43" s="6" t="s">
        <v>300</v>
      </c>
      <c r="D43" s="121"/>
      <c r="E43" s="11" t="s">
        <v>384</v>
      </c>
      <c r="F43" s="11">
        <v>2</v>
      </c>
      <c r="G43" s="11">
        <v>1</v>
      </c>
      <c r="H43" s="11">
        <v>2</v>
      </c>
      <c r="I43" s="16">
        <v>0.01</v>
      </c>
      <c r="J43" s="16"/>
      <c r="K43" s="121">
        <f t="shared" si="0"/>
        <v>5.01</v>
      </c>
    </row>
    <row r="44" spans="1:11" ht="13.5" customHeight="1">
      <c r="A44" s="171">
        <v>41</v>
      </c>
      <c r="B44" s="64" t="s">
        <v>397</v>
      </c>
      <c r="C44" s="6" t="s">
        <v>300</v>
      </c>
      <c r="D44" s="121"/>
      <c r="E44" s="11" t="s">
        <v>384</v>
      </c>
      <c r="F44" s="11">
        <v>2</v>
      </c>
      <c r="G44" s="11">
        <v>2</v>
      </c>
      <c r="H44" s="11">
        <v>2</v>
      </c>
      <c r="I44" s="16">
        <v>0.01</v>
      </c>
      <c r="J44" s="16"/>
      <c r="K44" s="121">
        <f t="shared" si="0"/>
        <v>6.01</v>
      </c>
    </row>
    <row r="45" spans="1:11" ht="13.5" customHeight="1">
      <c r="A45" s="171">
        <v>42</v>
      </c>
      <c r="B45" s="64" t="s">
        <v>398</v>
      </c>
      <c r="C45" s="6" t="s">
        <v>300</v>
      </c>
      <c r="D45" s="121"/>
      <c r="E45" s="11" t="s">
        <v>384</v>
      </c>
      <c r="F45" s="11">
        <v>2</v>
      </c>
      <c r="G45" s="11">
        <v>1</v>
      </c>
      <c r="H45" s="11">
        <v>2</v>
      </c>
      <c r="I45" s="16">
        <v>0.01</v>
      </c>
      <c r="J45" s="16"/>
      <c r="K45" s="121">
        <f t="shared" si="0"/>
        <v>5.01</v>
      </c>
    </row>
    <row r="46" spans="1:11" ht="13.5" customHeight="1">
      <c r="A46" s="171">
        <v>43</v>
      </c>
      <c r="B46" s="67" t="s">
        <v>298</v>
      </c>
      <c r="C46" s="6" t="s">
        <v>300</v>
      </c>
      <c r="D46" s="121"/>
      <c r="E46" s="11" t="s">
        <v>384</v>
      </c>
      <c r="F46" s="11">
        <v>3</v>
      </c>
      <c r="G46" s="11">
        <v>1</v>
      </c>
      <c r="H46" s="11">
        <v>2</v>
      </c>
      <c r="I46" s="16">
        <v>0.01</v>
      </c>
      <c r="J46" s="16"/>
      <c r="K46" s="121">
        <f t="shared" si="0"/>
        <v>6.01</v>
      </c>
    </row>
    <row r="47" spans="1:11" ht="13.5" customHeight="1">
      <c r="A47" s="171">
        <v>44</v>
      </c>
      <c r="B47" s="67" t="s">
        <v>6</v>
      </c>
      <c r="C47" s="6" t="s">
        <v>300</v>
      </c>
      <c r="D47" s="121"/>
      <c r="E47" s="11" t="s">
        <v>384</v>
      </c>
      <c r="F47" s="11">
        <v>2</v>
      </c>
      <c r="G47" s="11">
        <v>2</v>
      </c>
      <c r="H47" s="11">
        <v>3</v>
      </c>
      <c r="I47" s="16">
        <v>0.01</v>
      </c>
      <c r="J47" s="16"/>
      <c r="K47" s="121">
        <f t="shared" si="0"/>
        <v>7.01</v>
      </c>
    </row>
    <row r="48" spans="1:11" ht="13.5" customHeight="1">
      <c r="A48" s="171">
        <v>45</v>
      </c>
      <c r="B48" s="67" t="s">
        <v>400</v>
      </c>
      <c r="C48" s="6" t="s">
        <v>300</v>
      </c>
      <c r="D48" s="121"/>
      <c r="E48" s="11" t="s">
        <v>384</v>
      </c>
      <c r="F48" s="11">
        <v>2</v>
      </c>
      <c r="G48" s="11">
        <v>2</v>
      </c>
      <c r="H48" s="11">
        <v>2</v>
      </c>
      <c r="I48" s="16">
        <v>0.01</v>
      </c>
      <c r="J48" s="16"/>
      <c r="K48" s="121">
        <f t="shared" si="0"/>
        <v>6.01</v>
      </c>
    </row>
    <row r="49" spans="1:11" ht="13.5" customHeight="1">
      <c r="A49" s="171">
        <v>46</v>
      </c>
      <c r="B49" s="67" t="s">
        <v>401</v>
      </c>
      <c r="C49" s="6" t="s">
        <v>300</v>
      </c>
      <c r="D49" s="121"/>
      <c r="E49" s="11" t="s">
        <v>384</v>
      </c>
      <c r="F49" s="11">
        <v>2</v>
      </c>
      <c r="G49" s="11">
        <v>1</v>
      </c>
      <c r="H49" s="11">
        <v>2</v>
      </c>
      <c r="I49" s="16">
        <v>0.01</v>
      </c>
      <c r="J49" s="16"/>
      <c r="K49" s="121">
        <f t="shared" si="0"/>
        <v>5.01</v>
      </c>
    </row>
    <row r="50" spans="1:11" ht="13.5" customHeight="1">
      <c r="A50" s="171">
        <v>47</v>
      </c>
      <c r="B50" s="68" t="s">
        <v>402</v>
      </c>
      <c r="C50" s="6" t="s">
        <v>300</v>
      </c>
      <c r="D50" s="121"/>
      <c r="E50" s="11" t="s">
        <v>384</v>
      </c>
      <c r="F50" s="11">
        <v>2</v>
      </c>
      <c r="G50" s="11">
        <v>2</v>
      </c>
      <c r="H50" s="11">
        <v>2</v>
      </c>
      <c r="I50" s="16">
        <v>0.01</v>
      </c>
      <c r="J50" s="16"/>
      <c r="K50" s="121">
        <f t="shared" si="0"/>
        <v>6.01</v>
      </c>
    </row>
    <row r="51" spans="1:11" ht="13.5" customHeight="1">
      <c r="A51" s="171">
        <v>48</v>
      </c>
      <c r="B51" s="67" t="s">
        <v>403</v>
      </c>
      <c r="C51" s="6" t="s">
        <v>300</v>
      </c>
      <c r="D51" s="121"/>
      <c r="E51" s="11" t="s">
        <v>384</v>
      </c>
      <c r="F51" s="11">
        <v>1</v>
      </c>
      <c r="G51" s="11">
        <v>1</v>
      </c>
      <c r="H51" s="11">
        <v>4</v>
      </c>
      <c r="I51" s="16">
        <v>0.01</v>
      </c>
      <c r="J51" s="16"/>
      <c r="K51" s="121">
        <f t="shared" si="0"/>
        <v>6.01</v>
      </c>
    </row>
    <row r="52" spans="1:11" ht="13.5" customHeight="1">
      <c r="A52" s="171">
        <v>49</v>
      </c>
      <c r="B52" s="67" t="s">
        <v>404</v>
      </c>
      <c r="C52" s="6" t="s">
        <v>300</v>
      </c>
      <c r="D52" s="121"/>
      <c r="E52" s="11" t="s">
        <v>384</v>
      </c>
      <c r="F52" s="11">
        <v>1</v>
      </c>
      <c r="G52" s="11">
        <v>1</v>
      </c>
      <c r="H52" s="11">
        <v>1</v>
      </c>
      <c r="I52" s="16">
        <v>0.01</v>
      </c>
      <c r="J52" s="16"/>
      <c r="K52" s="121">
        <f t="shared" si="0"/>
        <v>3.01</v>
      </c>
    </row>
    <row r="53" spans="1:11" ht="13.5" customHeight="1">
      <c r="A53" s="171">
        <v>50</v>
      </c>
      <c r="B53" s="67" t="s">
        <v>405</v>
      </c>
      <c r="C53" s="6" t="s">
        <v>300</v>
      </c>
      <c r="D53" s="121"/>
      <c r="E53" s="11" t="s">
        <v>406</v>
      </c>
      <c r="F53" s="11">
        <v>1</v>
      </c>
      <c r="G53" s="11">
        <v>0.5</v>
      </c>
      <c r="H53" s="11">
        <v>0.5</v>
      </c>
      <c r="I53" s="16">
        <v>0.01</v>
      </c>
      <c r="J53" s="16"/>
      <c r="K53" s="121">
        <f t="shared" si="0"/>
        <v>2.0099999999999998</v>
      </c>
    </row>
    <row r="54" spans="1:11" ht="13.5" customHeight="1">
      <c r="A54" s="171">
        <v>51</v>
      </c>
      <c r="B54" s="63" t="s">
        <v>349</v>
      </c>
      <c r="C54" s="62" t="s">
        <v>300</v>
      </c>
      <c r="D54" s="16"/>
      <c r="E54" s="11" t="s">
        <v>383</v>
      </c>
      <c r="F54" s="11">
        <v>2</v>
      </c>
      <c r="G54" s="11">
        <v>1</v>
      </c>
      <c r="H54" s="89">
        <v>1</v>
      </c>
      <c r="I54" s="16">
        <v>0.01</v>
      </c>
      <c r="J54" s="16">
        <v>0</v>
      </c>
      <c r="K54" s="121">
        <f t="shared" si="0"/>
        <v>4.01</v>
      </c>
    </row>
    <row r="55" spans="1:11" ht="13.5" customHeight="1">
      <c r="A55" s="171">
        <v>52</v>
      </c>
      <c r="B55" s="63" t="s">
        <v>353</v>
      </c>
      <c r="C55" s="62" t="s">
        <v>300</v>
      </c>
      <c r="D55" s="16"/>
      <c r="E55" s="11" t="s">
        <v>383</v>
      </c>
      <c r="F55" s="11">
        <v>2</v>
      </c>
      <c r="G55" s="11">
        <v>1</v>
      </c>
      <c r="H55" s="11">
        <v>1</v>
      </c>
      <c r="I55" s="16">
        <v>0.01</v>
      </c>
      <c r="J55" s="16">
        <v>5</v>
      </c>
      <c r="K55" s="121">
        <f t="shared" si="0"/>
        <v>9.01</v>
      </c>
    </row>
    <row r="56" spans="1:11" ht="13.5" customHeight="1">
      <c r="A56" s="171">
        <v>53</v>
      </c>
      <c r="B56" s="99" t="s">
        <v>654</v>
      </c>
      <c r="C56" s="62" t="s">
        <v>228</v>
      </c>
      <c r="D56" s="16">
        <v>11</v>
      </c>
      <c r="E56" s="11" t="s">
        <v>383</v>
      </c>
      <c r="F56" s="121">
        <v>5</v>
      </c>
      <c r="G56" s="121">
        <v>3</v>
      </c>
      <c r="H56" s="121">
        <v>3</v>
      </c>
      <c r="I56" s="16">
        <v>0.5</v>
      </c>
      <c r="J56" s="16">
        <v>7</v>
      </c>
      <c r="K56" s="121">
        <f t="shared" si="0"/>
        <v>18.5</v>
      </c>
    </row>
    <row r="57" spans="1:11" ht="13.5" customHeight="1">
      <c r="A57" s="171">
        <v>54</v>
      </c>
      <c r="B57" s="63" t="s">
        <v>381</v>
      </c>
      <c r="C57" s="62" t="s">
        <v>407</v>
      </c>
      <c r="D57" s="137"/>
      <c r="E57" s="11" t="s">
        <v>383</v>
      </c>
      <c r="F57" s="11">
        <v>1</v>
      </c>
      <c r="G57" s="11">
        <v>1</v>
      </c>
      <c r="H57" s="90"/>
      <c r="I57" s="16">
        <v>0.01</v>
      </c>
      <c r="J57" s="16"/>
      <c r="K57" s="121">
        <f t="shared" si="0"/>
        <v>2.0099999999999998</v>
      </c>
    </row>
    <row r="58" spans="1:11" ht="13.5" customHeight="1">
      <c r="A58" s="171">
        <v>55</v>
      </c>
      <c r="B58" s="69" t="s">
        <v>389</v>
      </c>
      <c r="C58" s="6" t="s">
        <v>309</v>
      </c>
      <c r="D58" s="121"/>
      <c r="E58" s="11" t="s">
        <v>384</v>
      </c>
      <c r="F58" s="11">
        <v>1</v>
      </c>
      <c r="G58" s="11">
        <v>0.5</v>
      </c>
      <c r="H58" s="11">
        <v>0.5</v>
      </c>
      <c r="I58" s="16">
        <v>0.01</v>
      </c>
      <c r="J58" s="16"/>
      <c r="K58" s="121">
        <f t="shared" si="0"/>
        <v>2.0099999999999998</v>
      </c>
    </row>
    <row r="59" spans="1:11" ht="13.5" customHeight="1">
      <c r="A59" s="171">
        <v>56</v>
      </c>
      <c r="B59" s="63" t="s">
        <v>382</v>
      </c>
      <c r="C59" s="90" t="s">
        <v>407</v>
      </c>
      <c r="D59" s="137"/>
      <c r="E59" s="11" t="s">
        <v>383</v>
      </c>
      <c r="F59" s="11">
        <v>2</v>
      </c>
      <c r="G59" s="11">
        <v>1</v>
      </c>
      <c r="H59" s="90"/>
      <c r="I59" s="16">
        <v>0.01</v>
      </c>
      <c r="J59" s="16"/>
      <c r="K59" s="121">
        <f t="shared" si="0"/>
        <v>3.01</v>
      </c>
    </row>
    <row r="60" spans="1:11" ht="13.5" customHeight="1">
      <c r="A60" s="171">
        <v>57</v>
      </c>
      <c r="B60" s="63" t="s">
        <v>355</v>
      </c>
      <c r="C60" s="90" t="s">
        <v>300</v>
      </c>
      <c r="D60" s="16"/>
      <c r="E60" s="11" t="s">
        <v>383</v>
      </c>
      <c r="F60" s="11">
        <v>1</v>
      </c>
      <c r="G60" s="11">
        <v>1</v>
      </c>
      <c r="H60" s="89">
        <v>2</v>
      </c>
      <c r="I60" s="16">
        <v>0.01</v>
      </c>
      <c r="J60" s="16"/>
      <c r="K60" s="121">
        <f t="shared" si="0"/>
        <v>4.01</v>
      </c>
    </row>
    <row r="61" spans="1:11" ht="13.5" customHeight="1">
      <c r="A61" s="171">
        <v>58</v>
      </c>
      <c r="B61" s="17" t="s">
        <v>372</v>
      </c>
      <c r="C61" s="90" t="s">
        <v>309</v>
      </c>
      <c r="D61" s="16"/>
      <c r="E61" s="11" t="s">
        <v>383</v>
      </c>
      <c r="F61" s="11">
        <v>1</v>
      </c>
      <c r="G61" s="11">
        <v>0.5</v>
      </c>
      <c r="H61" s="89">
        <v>0.5</v>
      </c>
      <c r="I61" s="16">
        <v>0.01</v>
      </c>
      <c r="J61" s="16"/>
      <c r="K61" s="121">
        <f t="shared" si="0"/>
        <v>2.0099999999999998</v>
      </c>
    </row>
    <row r="62" spans="1:11" ht="13.5" customHeight="1">
      <c r="A62" s="171">
        <v>59</v>
      </c>
      <c r="B62" s="63" t="s">
        <v>377</v>
      </c>
      <c r="C62" s="90" t="s">
        <v>407</v>
      </c>
      <c r="D62" s="16"/>
      <c r="E62" s="11" t="s">
        <v>383</v>
      </c>
      <c r="F62" s="11">
        <v>3</v>
      </c>
      <c r="G62" s="11">
        <v>1</v>
      </c>
      <c r="H62" s="90"/>
      <c r="I62" s="16">
        <v>0.01</v>
      </c>
      <c r="J62" s="16"/>
      <c r="K62" s="121">
        <f t="shared" si="0"/>
        <v>4.01</v>
      </c>
    </row>
    <row r="63" spans="1:11" ht="13.5" customHeight="1">
      <c r="A63" s="171">
        <v>60</v>
      </c>
      <c r="B63" s="17" t="s">
        <v>6</v>
      </c>
      <c r="C63" s="90" t="s">
        <v>300</v>
      </c>
      <c r="D63" s="16"/>
      <c r="E63" s="11" t="s">
        <v>383</v>
      </c>
      <c r="F63" s="11">
        <v>2</v>
      </c>
      <c r="G63" s="11">
        <v>1</v>
      </c>
      <c r="H63" s="89">
        <v>2</v>
      </c>
      <c r="I63" s="16">
        <v>0.01</v>
      </c>
      <c r="J63" s="16">
        <v>5</v>
      </c>
      <c r="K63" s="121">
        <f t="shared" si="0"/>
        <v>10.01</v>
      </c>
    </row>
    <row r="64" spans="1:11" ht="13.5" customHeight="1">
      <c r="A64" s="171">
        <v>61</v>
      </c>
      <c r="B64" s="17" t="s">
        <v>379</v>
      </c>
      <c r="C64" s="90" t="s">
        <v>407</v>
      </c>
      <c r="D64" s="16"/>
      <c r="E64" s="11" t="s">
        <v>383</v>
      </c>
      <c r="F64" s="11">
        <v>2</v>
      </c>
      <c r="G64" s="11">
        <v>2</v>
      </c>
      <c r="H64" s="6"/>
      <c r="I64" s="16">
        <v>0.01</v>
      </c>
      <c r="J64" s="16"/>
      <c r="K64" s="121">
        <f t="shared" si="0"/>
        <v>4.01</v>
      </c>
    </row>
    <row r="65" spans="1:11" ht="13.5" customHeight="1">
      <c r="A65" s="171">
        <v>62</v>
      </c>
      <c r="B65" s="63" t="s">
        <v>1</v>
      </c>
      <c r="C65" s="61" t="s">
        <v>228</v>
      </c>
      <c r="D65" s="71">
        <v>5</v>
      </c>
      <c r="E65" s="11" t="s">
        <v>383</v>
      </c>
      <c r="F65" s="11">
        <v>5</v>
      </c>
      <c r="G65" s="11">
        <v>3</v>
      </c>
      <c r="H65" s="89">
        <v>3</v>
      </c>
      <c r="I65" s="16">
        <v>0.02</v>
      </c>
      <c r="J65" s="16">
        <v>0</v>
      </c>
      <c r="K65" s="121">
        <f t="shared" si="0"/>
        <v>11.02</v>
      </c>
    </row>
    <row r="66" spans="1:11" ht="13.5" customHeight="1">
      <c r="A66" s="171">
        <v>63</v>
      </c>
      <c r="B66" s="17" t="s">
        <v>4</v>
      </c>
      <c r="C66" s="90" t="s">
        <v>300</v>
      </c>
      <c r="D66" s="16"/>
      <c r="E66" s="11" t="s">
        <v>383</v>
      </c>
      <c r="F66" s="11">
        <v>2</v>
      </c>
      <c r="G66" s="11">
        <v>2</v>
      </c>
      <c r="H66" s="89">
        <v>2</v>
      </c>
      <c r="I66" s="16">
        <v>0.01</v>
      </c>
      <c r="J66" s="16">
        <v>5</v>
      </c>
      <c r="K66" s="121">
        <f t="shared" si="0"/>
        <v>11.01</v>
      </c>
    </row>
    <row r="67" spans="1:11" ht="13.5" customHeight="1">
      <c r="A67" s="171">
        <v>64</v>
      </c>
      <c r="B67" s="64" t="s">
        <v>393</v>
      </c>
      <c r="C67" s="6" t="s">
        <v>407</v>
      </c>
      <c r="D67" s="121"/>
      <c r="E67" s="11" t="s">
        <v>384</v>
      </c>
      <c r="F67" s="11">
        <v>1</v>
      </c>
      <c r="G67" s="11">
        <v>1</v>
      </c>
      <c r="H67" s="6"/>
      <c r="I67" s="16">
        <v>0.01</v>
      </c>
      <c r="J67" s="16"/>
      <c r="K67" s="121">
        <f t="shared" si="0"/>
        <v>2.0099999999999998</v>
      </c>
    </row>
    <row r="68" spans="1:11" ht="13.5" customHeight="1">
      <c r="A68" s="171">
        <v>65</v>
      </c>
      <c r="B68" s="64" t="s">
        <v>399</v>
      </c>
      <c r="C68" s="6" t="s">
        <v>407</v>
      </c>
      <c r="D68" s="121"/>
      <c r="E68" s="11" t="s">
        <v>384</v>
      </c>
      <c r="F68" s="11">
        <v>1</v>
      </c>
      <c r="G68" s="5">
        <v>1</v>
      </c>
      <c r="H68" s="5"/>
      <c r="I68" s="16">
        <v>0.01</v>
      </c>
      <c r="J68" s="8"/>
      <c r="K68" s="121">
        <f t="shared" si="0"/>
        <v>2.0099999999999998</v>
      </c>
    </row>
    <row r="69" spans="1:11" ht="13.5" customHeight="1">
      <c r="A69" s="171">
        <v>66</v>
      </c>
      <c r="B69" s="98" t="s">
        <v>5</v>
      </c>
      <c r="C69" s="102" t="s">
        <v>300</v>
      </c>
      <c r="D69" s="105"/>
      <c r="E69" s="105" t="s">
        <v>383</v>
      </c>
      <c r="F69" s="105">
        <v>2</v>
      </c>
      <c r="G69" s="89">
        <v>2</v>
      </c>
      <c r="H69" s="89">
        <v>2</v>
      </c>
      <c r="I69" s="16">
        <v>0.01</v>
      </c>
      <c r="J69" s="16"/>
      <c r="K69" s="121">
        <f t="shared" si="0"/>
        <v>6.01</v>
      </c>
    </row>
    <row r="70" spans="1:11" ht="13.5" customHeight="1">
      <c r="A70" s="171">
        <v>67</v>
      </c>
      <c r="B70" s="98" t="s">
        <v>369</v>
      </c>
      <c r="C70" s="102" t="s">
        <v>300</v>
      </c>
      <c r="D70" s="105"/>
      <c r="E70" s="89" t="s">
        <v>383</v>
      </c>
      <c r="F70" s="89">
        <v>3</v>
      </c>
      <c r="G70" s="89">
        <v>1</v>
      </c>
      <c r="H70" s="89">
        <v>3</v>
      </c>
      <c r="I70" s="89">
        <v>0.01</v>
      </c>
      <c r="J70" s="89"/>
      <c r="K70" s="121">
        <f t="shared" ref="K70:K80" si="3">SUM(F70:J70)</f>
        <v>7.01</v>
      </c>
    </row>
    <row r="71" spans="1:11" ht="13.5" customHeight="1">
      <c r="A71" s="171">
        <v>68</v>
      </c>
      <c r="B71" s="96" t="s">
        <v>656</v>
      </c>
      <c r="C71" s="102" t="s">
        <v>300</v>
      </c>
      <c r="D71" s="121"/>
      <c r="E71" s="89" t="s">
        <v>383</v>
      </c>
      <c r="F71" s="121">
        <v>2</v>
      </c>
      <c r="G71" s="121">
        <v>2</v>
      </c>
      <c r="H71" s="121">
        <v>2</v>
      </c>
      <c r="I71" s="16">
        <v>0.01</v>
      </c>
      <c r="J71" s="16">
        <v>5</v>
      </c>
      <c r="K71" s="121">
        <f t="shared" si="3"/>
        <v>11.01</v>
      </c>
    </row>
    <row r="72" spans="1:11" ht="13.5" customHeight="1">
      <c r="A72" s="171">
        <v>69</v>
      </c>
      <c r="B72" s="98" t="s">
        <v>360</v>
      </c>
      <c r="C72" s="102" t="s">
        <v>300</v>
      </c>
      <c r="D72" s="121"/>
      <c r="E72" s="89" t="s">
        <v>383</v>
      </c>
      <c r="F72" s="89">
        <v>3</v>
      </c>
      <c r="G72" s="89">
        <v>1</v>
      </c>
      <c r="H72" s="89">
        <v>1</v>
      </c>
      <c r="I72" s="89">
        <v>0.01</v>
      </c>
      <c r="J72" s="89">
        <v>5</v>
      </c>
      <c r="K72" s="121">
        <f t="shared" si="3"/>
        <v>10.01</v>
      </c>
    </row>
    <row r="73" spans="1:11" ht="13.5" customHeight="1">
      <c r="A73" s="171">
        <v>70</v>
      </c>
      <c r="B73" s="101" t="s">
        <v>380</v>
      </c>
      <c r="C73" s="90" t="s">
        <v>407</v>
      </c>
      <c r="D73" s="12"/>
      <c r="E73" s="89" t="s">
        <v>383</v>
      </c>
      <c r="F73" s="89">
        <v>2</v>
      </c>
      <c r="G73" s="89">
        <v>2</v>
      </c>
      <c r="H73" s="90"/>
      <c r="I73" s="89">
        <v>0.01</v>
      </c>
      <c r="J73" s="89"/>
      <c r="K73" s="121">
        <f t="shared" si="3"/>
        <v>4.01</v>
      </c>
    </row>
    <row r="74" spans="1:11" ht="13.5" customHeight="1">
      <c r="A74" s="171">
        <v>71</v>
      </c>
      <c r="B74" s="101" t="s">
        <v>344</v>
      </c>
      <c r="C74" s="61" t="s">
        <v>228</v>
      </c>
      <c r="D74" s="66">
        <v>15</v>
      </c>
      <c r="E74" s="89" t="s">
        <v>383</v>
      </c>
      <c r="F74" s="89">
        <v>10</v>
      </c>
      <c r="G74" s="89">
        <v>5</v>
      </c>
      <c r="H74" s="89">
        <v>3</v>
      </c>
      <c r="I74" s="89">
        <v>0.4</v>
      </c>
      <c r="J74" s="89">
        <v>0</v>
      </c>
      <c r="K74" s="121">
        <f t="shared" si="3"/>
        <v>18.399999999999999</v>
      </c>
    </row>
    <row r="75" spans="1:11" ht="13.5" customHeight="1">
      <c r="A75" s="171">
        <v>72</v>
      </c>
      <c r="B75" s="98" t="s">
        <v>347</v>
      </c>
      <c r="C75" s="61" t="s">
        <v>228</v>
      </c>
      <c r="D75" s="66">
        <v>8</v>
      </c>
      <c r="E75" s="89" t="s">
        <v>383</v>
      </c>
      <c r="F75" s="89">
        <v>5</v>
      </c>
      <c r="G75" s="89">
        <v>2</v>
      </c>
      <c r="H75" s="89">
        <v>2</v>
      </c>
      <c r="I75" s="89">
        <v>0.2</v>
      </c>
      <c r="J75" s="89"/>
      <c r="K75" s="121">
        <f t="shared" si="3"/>
        <v>9.1999999999999993</v>
      </c>
    </row>
    <row r="76" spans="1:11" ht="13.5" customHeight="1">
      <c r="A76" s="171">
        <v>73</v>
      </c>
      <c r="B76" s="98" t="s">
        <v>363</v>
      </c>
      <c r="C76" s="90" t="s">
        <v>300</v>
      </c>
      <c r="D76" s="121"/>
      <c r="E76" s="89" t="s">
        <v>383</v>
      </c>
      <c r="F76" s="89">
        <v>3</v>
      </c>
      <c r="G76" s="89">
        <v>1</v>
      </c>
      <c r="H76" s="89">
        <v>1</v>
      </c>
      <c r="I76" s="89">
        <v>0.01</v>
      </c>
      <c r="J76" s="89">
        <v>5</v>
      </c>
      <c r="K76" s="121">
        <f t="shared" si="3"/>
        <v>10.01</v>
      </c>
    </row>
    <row r="77" spans="1:11" ht="13.5" customHeight="1">
      <c r="A77" s="171">
        <v>74</v>
      </c>
      <c r="B77" s="101" t="s">
        <v>374</v>
      </c>
      <c r="C77" s="90" t="s">
        <v>407</v>
      </c>
      <c r="D77" s="121"/>
      <c r="E77" s="89" t="s">
        <v>383</v>
      </c>
      <c r="F77" s="89">
        <v>3</v>
      </c>
      <c r="G77" s="89">
        <v>2</v>
      </c>
      <c r="H77" s="90"/>
      <c r="I77" s="89">
        <v>0.01</v>
      </c>
      <c r="J77" s="89"/>
      <c r="K77" s="121">
        <f t="shared" si="3"/>
        <v>5.01</v>
      </c>
    </row>
    <row r="78" spans="1:11" ht="13.5" customHeight="1">
      <c r="A78" s="171">
        <v>75</v>
      </c>
      <c r="B78" s="96" t="s">
        <v>657</v>
      </c>
      <c r="C78" s="90" t="s">
        <v>651</v>
      </c>
      <c r="D78" s="121"/>
      <c r="E78" s="89" t="s">
        <v>383</v>
      </c>
      <c r="F78" s="121">
        <v>2</v>
      </c>
      <c r="G78" s="121">
        <v>2</v>
      </c>
      <c r="H78" s="122"/>
      <c r="I78" s="121">
        <v>0.01</v>
      </c>
      <c r="J78" s="121"/>
      <c r="K78" s="121">
        <f t="shared" si="3"/>
        <v>4.01</v>
      </c>
    </row>
    <row r="79" spans="1:11" ht="13.5" customHeight="1">
      <c r="A79" s="171">
        <v>76</v>
      </c>
      <c r="B79" s="98" t="s">
        <v>358</v>
      </c>
      <c r="C79" s="90" t="s">
        <v>300</v>
      </c>
      <c r="D79" s="121"/>
      <c r="E79" s="89" t="s">
        <v>383</v>
      </c>
      <c r="F79" s="89">
        <v>2</v>
      </c>
      <c r="G79" s="89">
        <v>1</v>
      </c>
      <c r="H79" s="89">
        <v>2</v>
      </c>
      <c r="I79" s="89">
        <v>0.01</v>
      </c>
      <c r="J79" s="89"/>
      <c r="K79" s="121">
        <f t="shared" si="3"/>
        <v>5.01</v>
      </c>
    </row>
    <row r="80" spans="1:11" ht="13.5" customHeight="1">
      <c r="A80" s="171">
        <v>77</v>
      </c>
      <c r="B80" s="101" t="s">
        <v>359</v>
      </c>
      <c r="C80" s="90" t="s">
        <v>300</v>
      </c>
      <c r="D80" s="121"/>
      <c r="E80" s="89" t="s">
        <v>383</v>
      </c>
      <c r="F80" s="89">
        <v>3</v>
      </c>
      <c r="G80" s="89">
        <v>2</v>
      </c>
      <c r="H80" s="89">
        <v>1</v>
      </c>
      <c r="I80" s="89">
        <v>0.01</v>
      </c>
      <c r="J80" s="89">
        <v>0</v>
      </c>
      <c r="K80" s="121">
        <f t="shared" si="3"/>
        <v>6.01</v>
      </c>
    </row>
    <row r="81" spans="1:11" ht="13.5" customHeight="1">
      <c r="A81" s="89"/>
      <c r="B81" s="90"/>
      <c r="C81" s="90"/>
      <c r="D81" s="121"/>
      <c r="E81" s="89"/>
      <c r="F81" s="90"/>
      <c r="G81" s="90"/>
      <c r="H81" s="90"/>
      <c r="I81" s="90"/>
      <c r="J81" s="90"/>
      <c r="K81" s="90"/>
    </row>
    <row r="82" spans="1:11" ht="13.5" customHeight="1">
      <c r="A82" s="89"/>
      <c r="B82" s="88" t="s">
        <v>0</v>
      </c>
      <c r="C82" s="90"/>
      <c r="D82" s="130">
        <f t="shared" ref="D82:K82" si="4">SUM(D4:D80)</f>
        <v>135</v>
      </c>
      <c r="E82" s="89"/>
      <c r="F82" s="88">
        <f t="shared" si="4"/>
        <v>218</v>
      </c>
      <c r="G82" s="120">
        <f t="shared" si="4"/>
        <v>150</v>
      </c>
      <c r="H82" s="120">
        <f t="shared" si="4"/>
        <v>137</v>
      </c>
      <c r="I82" s="120">
        <f t="shared" si="4"/>
        <v>3.249999999999996</v>
      </c>
      <c r="J82" s="120">
        <f t="shared" si="4"/>
        <v>75</v>
      </c>
      <c r="K82" s="120">
        <f t="shared" si="4"/>
        <v>583.24999999999955</v>
      </c>
    </row>
    <row r="87" spans="1:11" ht="13.5" customHeight="1">
      <c r="B87" s="6" t="s">
        <v>40</v>
      </c>
      <c r="C87" s="37"/>
      <c r="D87" s="121">
        <v>13</v>
      </c>
      <c r="F87" s="175" t="s">
        <v>98</v>
      </c>
      <c r="G87" s="175"/>
      <c r="H87" s="175"/>
      <c r="I87" s="175"/>
      <c r="J87" s="175"/>
      <c r="K87" s="175"/>
    </row>
    <row r="88" spans="1:11" ht="13.5" customHeight="1">
      <c r="B88" s="6" t="s">
        <v>41</v>
      </c>
      <c r="C88" s="37"/>
      <c r="D88" s="121">
        <v>45</v>
      </c>
    </row>
    <row r="89" spans="1:11" ht="13.5" customHeight="1">
      <c r="B89" s="6" t="s">
        <v>42</v>
      </c>
      <c r="C89" s="37"/>
      <c r="D89" s="121">
        <v>5</v>
      </c>
    </row>
    <row r="90" spans="1:11" ht="13.5" customHeight="1">
      <c r="B90" s="6" t="s">
        <v>43</v>
      </c>
      <c r="C90" s="37"/>
      <c r="D90" s="121">
        <v>13</v>
      </c>
    </row>
    <row r="91" spans="1:11" ht="13.5" customHeight="1">
      <c r="B91" s="132" t="s">
        <v>772</v>
      </c>
      <c r="C91" s="134"/>
      <c r="D91" s="131">
        <v>1</v>
      </c>
    </row>
    <row r="92" spans="1:11" ht="13.5" customHeight="1">
      <c r="B92" s="132" t="s">
        <v>495</v>
      </c>
      <c r="C92" s="134"/>
      <c r="D92" s="131">
        <v>0</v>
      </c>
    </row>
    <row r="93" spans="1:11" ht="13.5" customHeight="1">
      <c r="B93" s="6" t="s">
        <v>0</v>
      </c>
      <c r="C93" s="37"/>
      <c r="D93" s="15">
        <f>SUM(D87:D92)</f>
        <v>77</v>
      </c>
    </row>
  </sheetData>
  <sortState ref="B4:K85">
    <sortCondition ref="B4"/>
  </sortState>
  <mergeCells count="7">
    <mergeCell ref="F87:K87"/>
    <mergeCell ref="A1:K1"/>
    <mergeCell ref="A2:A3"/>
    <mergeCell ref="B2:B3"/>
    <mergeCell ref="D2:I2"/>
    <mergeCell ref="K2:K3"/>
    <mergeCell ref="J2:J3"/>
  </mergeCells>
  <pageMargins left="0.39370078740157483" right="0.19685039370078741" top="0.19685039370078741" bottom="0.19685039370078741" header="0.31496062992125984" footer="0.15748031496062992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7"/>
  <sheetViews>
    <sheetView topLeftCell="A63" workbookViewId="0">
      <selection activeCell="I89" sqref="I89"/>
    </sheetView>
  </sheetViews>
  <sheetFormatPr defaultColWidth="9.140625" defaultRowHeight="14.25" customHeight="1"/>
  <cols>
    <col min="1" max="1" width="5.5703125" style="13" customWidth="1"/>
    <col min="2" max="2" width="44.85546875" style="39" customWidth="1"/>
    <col min="3" max="3" width="5.7109375" style="13" customWidth="1"/>
    <col min="4" max="4" width="7.42578125" style="13" customWidth="1"/>
    <col min="5" max="5" width="12.28515625" style="13" customWidth="1"/>
    <col min="6" max="6" width="8.28515625" bestFit="1" customWidth="1"/>
    <col min="7" max="7" width="6.140625" customWidth="1"/>
    <col min="8" max="8" width="7.42578125" customWidth="1"/>
    <col min="9" max="9" width="6.85546875" bestFit="1" customWidth="1"/>
    <col min="10" max="10" width="8.7109375" customWidth="1"/>
    <col min="11" max="11" width="11.7109375" customWidth="1"/>
    <col min="12" max="12" width="9.140625" style="3" hidden="1" customWidth="1"/>
    <col min="13" max="13" width="9.140625" style="3"/>
    <col min="14" max="14" width="0.140625" style="3" customWidth="1"/>
    <col min="15" max="16384" width="9.140625" style="3"/>
  </cols>
  <sheetData>
    <row r="1" spans="1:12" ht="17.25" customHeight="1">
      <c r="A1" s="177" t="s">
        <v>822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14.25" customHeight="1">
      <c r="A2" s="207" t="s">
        <v>12</v>
      </c>
      <c r="B2" s="213" t="s">
        <v>13</v>
      </c>
      <c r="C2" s="41"/>
      <c r="D2" s="207" t="s">
        <v>14</v>
      </c>
      <c r="E2" s="215"/>
      <c r="F2" s="215"/>
      <c r="G2" s="215"/>
      <c r="H2" s="215"/>
      <c r="I2" s="215"/>
      <c r="J2" s="206" t="s">
        <v>509</v>
      </c>
      <c r="K2" s="216" t="s">
        <v>15</v>
      </c>
    </row>
    <row r="3" spans="1:12" ht="15.75" customHeight="1">
      <c r="A3" s="203"/>
      <c r="B3" s="214"/>
      <c r="C3" s="9"/>
      <c r="D3" s="120" t="s">
        <v>3</v>
      </c>
      <c r="E3" s="9" t="s">
        <v>2</v>
      </c>
      <c r="F3" s="10" t="s">
        <v>16</v>
      </c>
      <c r="G3" s="10" t="s">
        <v>18</v>
      </c>
      <c r="H3" s="10" t="s">
        <v>17</v>
      </c>
      <c r="I3" s="10" t="s">
        <v>19</v>
      </c>
      <c r="J3" s="207"/>
      <c r="K3" s="203"/>
    </row>
    <row r="4" spans="1:12" ht="14.25" customHeight="1">
      <c r="A4" s="11">
        <v>1</v>
      </c>
      <c r="B4" s="69" t="s">
        <v>442</v>
      </c>
      <c r="C4" s="11" t="s">
        <v>407</v>
      </c>
      <c r="D4" s="12"/>
      <c r="E4" s="11" t="s">
        <v>443</v>
      </c>
      <c r="F4" s="121">
        <v>2</v>
      </c>
      <c r="G4" s="11">
        <v>2</v>
      </c>
      <c r="H4" s="90"/>
      <c r="I4" s="11">
        <v>0.01</v>
      </c>
      <c r="J4" s="11"/>
      <c r="K4" s="11">
        <f t="shared" ref="K4:K48" si="0">SUM(F4:J4)</f>
        <v>4.01</v>
      </c>
    </row>
    <row r="5" spans="1:12" ht="14.25" customHeight="1">
      <c r="A5" s="11">
        <v>2</v>
      </c>
      <c r="B5" s="69" t="s">
        <v>430</v>
      </c>
      <c r="C5" s="11" t="s">
        <v>300</v>
      </c>
      <c r="D5" s="11"/>
      <c r="E5" s="11" t="s">
        <v>443</v>
      </c>
      <c r="F5" s="121">
        <v>3</v>
      </c>
      <c r="G5" s="11">
        <v>1</v>
      </c>
      <c r="H5" s="11">
        <v>2</v>
      </c>
      <c r="I5" s="11">
        <v>0.01</v>
      </c>
      <c r="J5" s="11"/>
      <c r="K5" s="11">
        <f t="shared" si="0"/>
        <v>6.01</v>
      </c>
    </row>
    <row r="6" spans="1:12" ht="14.25" customHeight="1">
      <c r="A6" s="167">
        <v>3</v>
      </c>
      <c r="B6" s="69" t="s">
        <v>44</v>
      </c>
      <c r="C6" s="11" t="s">
        <v>300</v>
      </c>
      <c r="D6" s="11"/>
      <c r="E6" s="11" t="s">
        <v>443</v>
      </c>
      <c r="F6" s="121">
        <v>2</v>
      </c>
      <c r="G6" s="11">
        <v>2</v>
      </c>
      <c r="H6" s="11">
        <v>3</v>
      </c>
      <c r="I6" s="11">
        <v>0.01</v>
      </c>
      <c r="J6" s="11"/>
      <c r="K6" s="11">
        <f t="shared" si="0"/>
        <v>7.01</v>
      </c>
    </row>
    <row r="7" spans="1:12" ht="14.25" customHeight="1">
      <c r="A7" s="171">
        <v>4</v>
      </c>
      <c r="B7" s="69" t="s">
        <v>429</v>
      </c>
      <c r="C7" s="11" t="s">
        <v>300</v>
      </c>
      <c r="D7" s="11"/>
      <c r="E7" s="11" t="s">
        <v>443</v>
      </c>
      <c r="F7" s="121">
        <v>2</v>
      </c>
      <c r="G7" s="11">
        <v>1</v>
      </c>
      <c r="H7" s="11">
        <v>3</v>
      </c>
      <c r="I7" s="11">
        <v>0.01</v>
      </c>
      <c r="J7" s="11"/>
      <c r="K7" s="11">
        <f t="shared" si="0"/>
        <v>6.01</v>
      </c>
    </row>
    <row r="8" spans="1:12" ht="14.25" customHeight="1">
      <c r="A8" s="171">
        <v>5</v>
      </c>
      <c r="B8" s="69" t="s">
        <v>413</v>
      </c>
      <c r="C8" s="11" t="s">
        <v>228</v>
      </c>
      <c r="D8" s="121">
        <v>7</v>
      </c>
      <c r="E8" s="11" t="s">
        <v>443</v>
      </c>
      <c r="F8" s="121">
        <v>8</v>
      </c>
      <c r="G8" s="11">
        <v>4</v>
      </c>
      <c r="H8" s="11">
        <v>3</v>
      </c>
      <c r="I8" s="11">
        <v>0.02</v>
      </c>
      <c r="J8" s="11"/>
      <c r="K8" s="11">
        <f t="shared" si="0"/>
        <v>15.02</v>
      </c>
    </row>
    <row r="9" spans="1:12" ht="14.25" customHeight="1">
      <c r="A9" s="171">
        <v>6</v>
      </c>
      <c r="B9" s="69" t="s">
        <v>418</v>
      </c>
      <c r="C9" s="11" t="s">
        <v>300</v>
      </c>
      <c r="D9" s="11"/>
      <c r="E9" s="11" t="s">
        <v>443</v>
      </c>
      <c r="F9" s="121">
        <v>4</v>
      </c>
      <c r="G9" s="11">
        <v>1</v>
      </c>
      <c r="H9" s="11">
        <v>2</v>
      </c>
      <c r="I9" s="11">
        <v>0.01</v>
      </c>
      <c r="J9" s="11">
        <v>0</v>
      </c>
      <c r="K9" s="11">
        <f t="shared" si="0"/>
        <v>7.01</v>
      </c>
    </row>
    <row r="10" spans="1:12" ht="14.25" customHeight="1">
      <c r="A10" s="171">
        <v>7</v>
      </c>
      <c r="B10" s="47" t="s">
        <v>436</v>
      </c>
      <c r="C10" s="11" t="s">
        <v>300</v>
      </c>
      <c r="D10" s="11"/>
      <c r="E10" s="11" t="s">
        <v>443</v>
      </c>
      <c r="F10" s="121">
        <v>2</v>
      </c>
      <c r="G10" s="11">
        <v>1</v>
      </c>
      <c r="H10" s="11">
        <v>1</v>
      </c>
      <c r="I10" s="11">
        <v>0.01</v>
      </c>
      <c r="J10" s="11"/>
      <c r="K10" s="11">
        <f t="shared" si="0"/>
        <v>4.01</v>
      </c>
    </row>
    <row r="11" spans="1:12" ht="14.25" customHeight="1">
      <c r="A11" s="171">
        <v>8</v>
      </c>
      <c r="B11" s="69" t="s">
        <v>433</v>
      </c>
      <c r="C11" s="11" t="s">
        <v>300</v>
      </c>
      <c r="D11" s="11"/>
      <c r="E11" s="11" t="s">
        <v>443</v>
      </c>
      <c r="F11" s="121">
        <v>3</v>
      </c>
      <c r="G11" s="11">
        <v>2</v>
      </c>
      <c r="H11" s="11">
        <v>2</v>
      </c>
      <c r="I11" s="11">
        <v>0.01</v>
      </c>
      <c r="J11" s="11"/>
      <c r="K11" s="11">
        <f t="shared" si="0"/>
        <v>7.01</v>
      </c>
    </row>
    <row r="12" spans="1:12" ht="14.25" customHeight="1">
      <c r="A12" s="171">
        <v>9</v>
      </c>
      <c r="B12" s="166" t="s">
        <v>817</v>
      </c>
      <c r="C12" s="171" t="s">
        <v>228</v>
      </c>
      <c r="D12" s="171">
        <v>8</v>
      </c>
      <c r="E12" s="171" t="s">
        <v>443</v>
      </c>
      <c r="F12" s="171">
        <v>8</v>
      </c>
      <c r="G12" s="171">
        <v>4</v>
      </c>
      <c r="H12" s="171">
        <v>3</v>
      </c>
      <c r="I12" s="171">
        <v>0.02</v>
      </c>
      <c r="J12" s="171"/>
      <c r="K12" s="171">
        <f t="shared" ref="K12" si="1">SUM(F12:J12)</f>
        <v>15.02</v>
      </c>
    </row>
    <row r="13" spans="1:12" ht="14.25" customHeight="1">
      <c r="A13" s="171">
        <v>10</v>
      </c>
      <c r="B13" s="69" t="s">
        <v>440</v>
      </c>
      <c r="C13" s="11" t="s">
        <v>300</v>
      </c>
      <c r="D13" s="11"/>
      <c r="E13" s="11" t="s">
        <v>443</v>
      </c>
      <c r="F13" s="121">
        <v>2</v>
      </c>
      <c r="G13" s="11">
        <v>2</v>
      </c>
      <c r="H13" s="11">
        <v>1</v>
      </c>
      <c r="I13" s="11">
        <v>0.01</v>
      </c>
      <c r="J13" s="11"/>
      <c r="K13" s="11">
        <f t="shared" si="0"/>
        <v>5.01</v>
      </c>
    </row>
    <row r="14" spans="1:12" ht="14.25" customHeight="1">
      <c r="A14" s="171">
        <v>11</v>
      </c>
      <c r="B14" s="69" t="s">
        <v>449</v>
      </c>
      <c r="C14" s="11" t="s">
        <v>228</v>
      </c>
      <c r="D14" s="11">
        <v>8</v>
      </c>
      <c r="E14" s="11" t="s">
        <v>444</v>
      </c>
      <c r="F14" s="11">
        <v>3</v>
      </c>
      <c r="G14" s="11">
        <v>2</v>
      </c>
      <c r="H14" s="11">
        <v>2</v>
      </c>
      <c r="I14" s="11">
        <v>0.01</v>
      </c>
      <c r="J14" s="11"/>
      <c r="K14" s="11">
        <f t="shared" si="0"/>
        <v>7.01</v>
      </c>
    </row>
    <row r="15" spans="1:12" ht="14.25" customHeight="1">
      <c r="A15" s="171">
        <v>12</v>
      </c>
      <c r="B15" s="69" t="s">
        <v>426</v>
      </c>
      <c r="C15" s="131" t="s">
        <v>309</v>
      </c>
      <c r="D15" s="11"/>
      <c r="E15" s="11" t="s">
        <v>443</v>
      </c>
      <c r="F15" s="121">
        <v>2</v>
      </c>
      <c r="G15" s="11">
        <v>0.5</v>
      </c>
      <c r="H15" s="11">
        <v>0.5</v>
      </c>
      <c r="I15" s="11">
        <v>0.01</v>
      </c>
      <c r="J15" s="11"/>
      <c r="K15" s="11">
        <f t="shared" si="0"/>
        <v>3.01</v>
      </c>
    </row>
    <row r="16" spans="1:12" ht="14.25" customHeight="1">
      <c r="A16" s="171">
        <v>13</v>
      </c>
      <c r="B16" s="69" t="s">
        <v>423</v>
      </c>
      <c r="C16" s="11" t="s">
        <v>300</v>
      </c>
      <c r="D16" s="11"/>
      <c r="E16" s="11" t="s">
        <v>443</v>
      </c>
      <c r="F16" s="121">
        <v>2</v>
      </c>
      <c r="G16" s="11">
        <v>1</v>
      </c>
      <c r="H16" s="11">
        <v>2</v>
      </c>
      <c r="I16" s="11">
        <v>0.01</v>
      </c>
      <c r="J16" s="11"/>
      <c r="K16" s="11">
        <f t="shared" si="0"/>
        <v>5.01</v>
      </c>
    </row>
    <row r="17" spans="1:11" ht="14.25" customHeight="1">
      <c r="A17" s="171">
        <v>14</v>
      </c>
      <c r="B17" s="69" t="s">
        <v>412</v>
      </c>
      <c r="C17" s="11" t="s">
        <v>228</v>
      </c>
      <c r="D17" s="121">
        <v>10</v>
      </c>
      <c r="E17" s="11" t="s">
        <v>443</v>
      </c>
      <c r="F17" s="121">
        <v>7</v>
      </c>
      <c r="G17" s="11">
        <v>3</v>
      </c>
      <c r="H17" s="11">
        <v>3</v>
      </c>
      <c r="I17" s="11">
        <v>0.2</v>
      </c>
      <c r="J17" s="11">
        <v>0</v>
      </c>
      <c r="K17" s="11">
        <f t="shared" si="0"/>
        <v>13.2</v>
      </c>
    </row>
    <row r="18" spans="1:11" ht="14.25" customHeight="1">
      <c r="A18" s="171">
        <v>15</v>
      </c>
      <c r="B18" s="69" t="s">
        <v>414</v>
      </c>
      <c r="C18" s="11" t="s">
        <v>228</v>
      </c>
      <c r="D18" s="121">
        <v>5</v>
      </c>
      <c r="E18" s="11" t="s">
        <v>443</v>
      </c>
      <c r="F18" s="121">
        <v>8</v>
      </c>
      <c r="G18" s="11">
        <v>3</v>
      </c>
      <c r="H18" s="11">
        <v>2</v>
      </c>
      <c r="I18" s="11">
        <v>0.1</v>
      </c>
      <c r="J18" s="11"/>
      <c r="K18" s="11">
        <f t="shared" si="0"/>
        <v>13.1</v>
      </c>
    </row>
    <row r="19" spans="1:11" ht="14.25" customHeight="1">
      <c r="A19" s="171">
        <v>16</v>
      </c>
      <c r="B19" s="69" t="s">
        <v>424</v>
      </c>
      <c r="C19" s="11" t="s">
        <v>300</v>
      </c>
      <c r="D19" s="11"/>
      <c r="E19" s="11" t="s">
        <v>443</v>
      </c>
      <c r="F19" s="121">
        <v>3</v>
      </c>
      <c r="G19" s="11">
        <v>1</v>
      </c>
      <c r="H19" s="11">
        <v>2</v>
      </c>
      <c r="I19" s="11">
        <v>0.01</v>
      </c>
      <c r="J19" s="11"/>
      <c r="K19" s="11">
        <f t="shared" si="0"/>
        <v>6.01</v>
      </c>
    </row>
    <row r="20" spans="1:11" ht="14.25" customHeight="1">
      <c r="A20" s="171">
        <v>17</v>
      </c>
      <c r="B20" s="69" t="s">
        <v>428</v>
      </c>
      <c r="C20" s="11" t="s">
        <v>300</v>
      </c>
      <c r="D20" s="11"/>
      <c r="E20" s="11" t="s">
        <v>443</v>
      </c>
      <c r="F20" s="121">
        <v>3</v>
      </c>
      <c r="G20" s="11">
        <v>1</v>
      </c>
      <c r="H20" s="11">
        <v>2</v>
      </c>
      <c r="I20" s="11">
        <v>0.01</v>
      </c>
      <c r="J20" s="11"/>
      <c r="K20" s="11">
        <f t="shared" si="0"/>
        <v>6.01</v>
      </c>
    </row>
    <row r="21" spans="1:11" ht="14.25" customHeight="1">
      <c r="A21" s="171">
        <v>18</v>
      </c>
      <c r="B21" s="69" t="s">
        <v>419</v>
      </c>
      <c r="C21" s="11" t="s">
        <v>300</v>
      </c>
      <c r="D21" s="11"/>
      <c r="E21" s="11" t="s">
        <v>443</v>
      </c>
      <c r="F21" s="121">
        <v>3</v>
      </c>
      <c r="G21" s="11">
        <v>1</v>
      </c>
      <c r="H21" s="11">
        <v>5</v>
      </c>
      <c r="I21" s="11">
        <v>0.01</v>
      </c>
      <c r="J21" s="11">
        <v>5</v>
      </c>
      <c r="K21" s="11">
        <f t="shared" si="0"/>
        <v>14.01</v>
      </c>
    </row>
    <row r="22" spans="1:11" ht="14.25" customHeight="1">
      <c r="A22" s="171">
        <v>19</v>
      </c>
      <c r="B22" s="69" t="s">
        <v>427</v>
      </c>
      <c r="C22" s="11" t="s">
        <v>300</v>
      </c>
      <c r="D22" s="11"/>
      <c r="E22" s="11" t="s">
        <v>443</v>
      </c>
      <c r="F22" s="121">
        <v>3</v>
      </c>
      <c r="G22" s="11">
        <v>1</v>
      </c>
      <c r="H22" s="11">
        <v>2</v>
      </c>
      <c r="I22" s="11">
        <v>0.01</v>
      </c>
      <c r="J22" s="11"/>
      <c r="K22" s="11">
        <f t="shared" si="0"/>
        <v>6.01</v>
      </c>
    </row>
    <row r="23" spans="1:11" ht="14.25" customHeight="1">
      <c r="A23" s="171">
        <v>20</v>
      </c>
      <c r="B23" s="69" t="s">
        <v>431</v>
      </c>
      <c r="C23" s="11" t="s">
        <v>300</v>
      </c>
      <c r="D23" s="11"/>
      <c r="E23" s="11" t="s">
        <v>443</v>
      </c>
      <c r="F23" s="121">
        <v>2</v>
      </c>
      <c r="G23" s="11">
        <v>1</v>
      </c>
      <c r="H23" s="11">
        <v>2</v>
      </c>
      <c r="I23" s="11">
        <v>0.01</v>
      </c>
      <c r="J23" s="11"/>
      <c r="K23" s="11">
        <f t="shared" si="0"/>
        <v>5.01</v>
      </c>
    </row>
    <row r="24" spans="1:11" ht="14.25" customHeight="1">
      <c r="A24" s="171">
        <v>21</v>
      </c>
      <c r="B24" s="69" t="s">
        <v>415</v>
      </c>
      <c r="C24" s="11" t="s">
        <v>228</v>
      </c>
      <c r="D24" s="121">
        <v>5</v>
      </c>
      <c r="E24" s="11" t="s">
        <v>443</v>
      </c>
      <c r="F24" s="121">
        <v>6</v>
      </c>
      <c r="G24" s="11">
        <v>3</v>
      </c>
      <c r="H24" s="11">
        <v>4</v>
      </c>
      <c r="I24" s="11">
        <v>0.01</v>
      </c>
      <c r="J24" s="11"/>
      <c r="K24" s="11">
        <f t="shared" si="0"/>
        <v>13.01</v>
      </c>
    </row>
    <row r="25" spans="1:11" ht="14.25" customHeight="1">
      <c r="A25" s="171">
        <v>22</v>
      </c>
      <c r="B25" s="47" t="s">
        <v>450</v>
      </c>
      <c r="C25" s="11" t="s">
        <v>228</v>
      </c>
      <c r="D25" s="121">
        <v>4</v>
      </c>
      <c r="E25" s="11" t="s">
        <v>443</v>
      </c>
      <c r="F25" s="121">
        <v>4</v>
      </c>
      <c r="G25" s="11">
        <v>2</v>
      </c>
      <c r="H25" s="11">
        <v>2</v>
      </c>
      <c r="I25" s="11">
        <v>0.01</v>
      </c>
      <c r="J25" s="11"/>
      <c r="K25" s="11">
        <f t="shared" si="0"/>
        <v>8.01</v>
      </c>
    </row>
    <row r="26" spans="1:11" ht="14.25" customHeight="1">
      <c r="A26" s="171">
        <v>23</v>
      </c>
      <c r="B26" s="69" t="s">
        <v>416</v>
      </c>
      <c r="C26" s="11" t="s">
        <v>300</v>
      </c>
      <c r="D26" s="11"/>
      <c r="E26" s="11" t="s">
        <v>443</v>
      </c>
      <c r="F26" s="121">
        <v>2</v>
      </c>
      <c r="G26" s="11">
        <v>1</v>
      </c>
      <c r="H26" s="11">
        <v>2</v>
      </c>
      <c r="I26" s="11">
        <v>0.01</v>
      </c>
      <c r="J26" s="11"/>
      <c r="K26" s="11">
        <f t="shared" si="0"/>
        <v>5.01</v>
      </c>
    </row>
    <row r="27" spans="1:11" ht="14.25" customHeight="1">
      <c r="A27" s="171">
        <v>24</v>
      </c>
      <c r="B27" s="69" t="s">
        <v>410</v>
      </c>
      <c r="C27" s="11" t="s">
        <v>228</v>
      </c>
      <c r="D27" s="121">
        <v>10</v>
      </c>
      <c r="E27" s="11" t="s">
        <v>443</v>
      </c>
      <c r="F27" s="121">
        <v>8</v>
      </c>
      <c r="G27" s="11">
        <v>4</v>
      </c>
      <c r="H27" s="11">
        <v>2</v>
      </c>
      <c r="I27" s="11">
        <v>0.1</v>
      </c>
      <c r="J27" s="11">
        <v>0</v>
      </c>
      <c r="K27" s="11">
        <f t="shared" si="0"/>
        <v>14.1</v>
      </c>
    </row>
    <row r="28" spans="1:11" ht="14.25" customHeight="1">
      <c r="A28" s="171">
        <v>25</v>
      </c>
      <c r="B28" s="69" t="s">
        <v>425</v>
      </c>
      <c r="C28" s="11" t="s">
        <v>300</v>
      </c>
      <c r="D28" s="11"/>
      <c r="E28" s="11" t="s">
        <v>443</v>
      </c>
      <c r="F28" s="121">
        <v>3</v>
      </c>
      <c r="G28" s="11">
        <v>2</v>
      </c>
      <c r="H28" s="11">
        <v>3</v>
      </c>
      <c r="I28" s="11">
        <v>0.01</v>
      </c>
      <c r="J28" s="11"/>
      <c r="K28" s="11">
        <f t="shared" si="0"/>
        <v>8.01</v>
      </c>
    </row>
    <row r="29" spans="1:11" ht="14.25" customHeight="1">
      <c r="A29" s="171">
        <v>26</v>
      </c>
      <c r="B29" s="69" t="s">
        <v>411</v>
      </c>
      <c r="C29" s="11" t="s">
        <v>228</v>
      </c>
      <c r="D29" s="121">
        <v>10</v>
      </c>
      <c r="E29" s="11" t="s">
        <v>443</v>
      </c>
      <c r="F29" s="121">
        <v>10</v>
      </c>
      <c r="G29" s="11">
        <v>3</v>
      </c>
      <c r="H29" s="11">
        <v>3</v>
      </c>
      <c r="I29" s="11">
        <v>0.3</v>
      </c>
      <c r="J29" s="11">
        <v>5</v>
      </c>
      <c r="K29" s="11">
        <f t="shared" si="0"/>
        <v>21.3</v>
      </c>
    </row>
    <row r="30" spans="1:11" ht="14.25" customHeight="1">
      <c r="A30" s="171">
        <v>27</v>
      </c>
      <c r="B30" s="69" t="s">
        <v>422</v>
      </c>
      <c r="C30" s="11" t="s">
        <v>300</v>
      </c>
      <c r="D30" s="11"/>
      <c r="E30" s="11" t="s">
        <v>443</v>
      </c>
      <c r="F30" s="121">
        <v>2</v>
      </c>
      <c r="G30" s="11">
        <v>2</v>
      </c>
      <c r="H30" s="11">
        <v>3</v>
      </c>
      <c r="I30" s="11">
        <v>0.01</v>
      </c>
      <c r="J30" s="11"/>
      <c r="K30" s="11">
        <f t="shared" si="0"/>
        <v>7.01</v>
      </c>
    </row>
    <row r="31" spans="1:11" ht="14.25" customHeight="1">
      <c r="A31" s="171">
        <v>28</v>
      </c>
      <c r="B31" s="69" t="s">
        <v>438</v>
      </c>
      <c r="C31" s="11" t="s">
        <v>300</v>
      </c>
      <c r="D31" s="11"/>
      <c r="E31" s="11" t="s">
        <v>443</v>
      </c>
      <c r="F31" s="121">
        <v>3</v>
      </c>
      <c r="G31" s="11">
        <v>1</v>
      </c>
      <c r="H31" s="11">
        <v>2</v>
      </c>
      <c r="I31" s="11">
        <v>0.01</v>
      </c>
      <c r="J31" s="11"/>
      <c r="K31" s="11">
        <f t="shared" si="0"/>
        <v>6.01</v>
      </c>
    </row>
    <row r="32" spans="1:11" ht="14.25" customHeight="1">
      <c r="A32" s="171">
        <v>29</v>
      </c>
      <c r="B32" s="69" t="s">
        <v>435</v>
      </c>
      <c r="C32" s="11" t="s">
        <v>300</v>
      </c>
      <c r="D32" s="11"/>
      <c r="E32" s="11" t="s">
        <v>443</v>
      </c>
      <c r="F32" s="121">
        <v>2</v>
      </c>
      <c r="G32" s="11">
        <v>2</v>
      </c>
      <c r="H32" s="11">
        <v>2</v>
      </c>
      <c r="I32" s="11">
        <v>0.01</v>
      </c>
      <c r="J32" s="11"/>
      <c r="K32" s="11">
        <f t="shared" si="0"/>
        <v>6.01</v>
      </c>
    </row>
    <row r="33" spans="1:11" ht="14.25" customHeight="1">
      <c r="A33" s="171">
        <v>30</v>
      </c>
      <c r="B33" s="69" t="s">
        <v>408</v>
      </c>
      <c r="C33" s="11" t="s">
        <v>228</v>
      </c>
      <c r="D33" s="121">
        <v>15</v>
      </c>
      <c r="E33" s="11" t="s">
        <v>443</v>
      </c>
      <c r="F33" s="121">
        <v>12</v>
      </c>
      <c r="G33" s="11">
        <v>5</v>
      </c>
      <c r="H33" s="11">
        <v>2</v>
      </c>
      <c r="I33" s="11">
        <v>0.3</v>
      </c>
      <c r="J33" s="11">
        <v>15</v>
      </c>
      <c r="K33" s="11">
        <f t="shared" si="0"/>
        <v>34.299999999999997</v>
      </c>
    </row>
    <row r="34" spans="1:11" ht="14.25" customHeight="1">
      <c r="A34" s="171">
        <v>31</v>
      </c>
      <c r="B34" s="69" t="s">
        <v>432</v>
      </c>
      <c r="C34" s="131" t="s">
        <v>309</v>
      </c>
      <c r="D34" s="11"/>
      <c r="E34" s="11" t="s">
        <v>443</v>
      </c>
      <c r="F34" s="121">
        <v>2</v>
      </c>
      <c r="G34" s="11">
        <v>0.5</v>
      </c>
      <c r="H34" s="11">
        <v>0.5</v>
      </c>
      <c r="I34" s="11">
        <v>0.01</v>
      </c>
      <c r="J34" s="11"/>
      <c r="K34" s="11">
        <f t="shared" si="0"/>
        <v>3.01</v>
      </c>
    </row>
    <row r="35" spans="1:11" ht="14.25" customHeight="1">
      <c r="A35" s="171">
        <v>32</v>
      </c>
      <c r="B35" s="69" t="s">
        <v>441</v>
      </c>
      <c r="C35" s="11" t="s">
        <v>407</v>
      </c>
      <c r="D35" s="12"/>
      <c r="E35" s="11" t="s">
        <v>443</v>
      </c>
      <c r="F35" s="121">
        <v>3</v>
      </c>
      <c r="G35" s="11">
        <v>2</v>
      </c>
      <c r="H35" s="90"/>
      <c r="I35" s="11">
        <v>0.01</v>
      </c>
      <c r="J35" s="11"/>
      <c r="K35" s="11">
        <f t="shared" si="0"/>
        <v>5.01</v>
      </c>
    </row>
    <row r="36" spans="1:11" ht="14.25" customHeight="1">
      <c r="A36" s="171">
        <v>33</v>
      </c>
      <c r="B36" s="69" t="s">
        <v>409</v>
      </c>
      <c r="C36" s="11" t="s">
        <v>228</v>
      </c>
      <c r="D36" s="121">
        <v>15</v>
      </c>
      <c r="E36" s="11" t="s">
        <v>443</v>
      </c>
      <c r="F36" s="121">
        <v>13</v>
      </c>
      <c r="G36" s="11">
        <v>4</v>
      </c>
      <c r="H36" s="11">
        <v>3</v>
      </c>
      <c r="I36" s="11">
        <v>0.3</v>
      </c>
      <c r="J36" s="11">
        <v>8</v>
      </c>
      <c r="K36" s="11">
        <f t="shared" si="0"/>
        <v>28.3</v>
      </c>
    </row>
    <row r="37" spans="1:11" ht="14.25" customHeight="1">
      <c r="A37" s="171">
        <v>34</v>
      </c>
      <c r="B37" s="69" t="s">
        <v>445</v>
      </c>
      <c r="C37" s="11" t="s">
        <v>300</v>
      </c>
      <c r="D37" s="11"/>
      <c r="E37" s="11" t="s">
        <v>8</v>
      </c>
      <c r="F37" s="11">
        <v>3</v>
      </c>
      <c r="G37" s="11">
        <v>1</v>
      </c>
      <c r="H37" s="11">
        <v>1</v>
      </c>
      <c r="I37" s="11">
        <v>0.01</v>
      </c>
      <c r="J37" s="11"/>
      <c r="K37" s="11">
        <f t="shared" si="0"/>
        <v>5.01</v>
      </c>
    </row>
    <row r="38" spans="1:11" ht="14.25" customHeight="1">
      <c r="A38" s="171">
        <v>35</v>
      </c>
      <c r="B38" s="69" t="s">
        <v>446</v>
      </c>
      <c r="C38" s="11" t="s">
        <v>300</v>
      </c>
      <c r="D38" s="11"/>
      <c r="E38" s="11" t="s">
        <v>8</v>
      </c>
      <c r="F38" s="11">
        <v>4</v>
      </c>
      <c r="G38" s="11">
        <v>1</v>
      </c>
      <c r="H38" s="11">
        <v>2</v>
      </c>
      <c r="I38" s="11">
        <v>0.01</v>
      </c>
      <c r="J38" s="11"/>
      <c r="K38" s="11">
        <f t="shared" si="0"/>
        <v>7.01</v>
      </c>
    </row>
    <row r="39" spans="1:11" ht="14.25" customHeight="1">
      <c r="A39" s="171">
        <v>36</v>
      </c>
      <c r="B39" s="69" t="s">
        <v>447</v>
      </c>
      <c r="C39" s="11" t="s">
        <v>300</v>
      </c>
      <c r="D39" s="11"/>
      <c r="E39" s="11" t="s">
        <v>8</v>
      </c>
      <c r="F39" s="11">
        <v>2</v>
      </c>
      <c r="G39" s="11">
        <v>2</v>
      </c>
      <c r="H39" s="11">
        <v>1</v>
      </c>
      <c r="I39" s="11">
        <v>0.01</v>
      </c>
      <c r="J39" s="11"/>
      <c r="K39" s="11">
        <f t="shared" si="0"/>
        <v>5.01</v>
      </c>
    </row>
    <row r="40" spans="1:11" ht="14.25" customHeight="1">
      <c r="A40" s="171">
        <v>37</v>
      </c>
      <c r="B40" s="69" t="s">
        <v>448</v>
      </c>
      <c r="C40" s="11" t="s">
        <v>300</v>
      </c>
      <c r="D40" s="11"/>
      <c r="E40" s="11" t="s">
        <v>8</v>
      </c>
      <c r="F40" s="11">
        <v>2</v>
      </c>
      <c r="G40" s="11">
        <v>1</v>
      </c>
      <c r="H40" s="11">
        <v>1</v>
      </c>
      <c r="I40" s="11">
        <v>0.01</v>
      </c>
      <c r="J40" s="11"/>
      <c r="K40" s="11">
        <f t="shared" si="0"/>
        <v>4.01</v>
      </c>
    </row>
    <row r="41" spans="1:11" ht="14.25" customHeight="1">
      <c r="A41" s="171">
        <v>38</v>
      </c>
      <c r="B41" s="69" t="s">
        <v>647</v>
      </c>
      <c r="C41" s="80" t="s">
        <v>300</v>
      </c>
      <c r="D41" s="80"/>
      <c r="E41" s="80" t="s">
        <v>8</v>
      </c>
      <c r="F41" s="80">
        <v>2</v>
      </c>
      <c r="G41" s="80">
        <v>1</v>
      </c>
      <c r="H41" s="80">
        <v>1</v>
      </c>
      <c r="I41" s="80">
        <v>0.01</v>
      </c>
      <c r="J41" s="80"/>
      <c r="K41" s="80">
        <f t="shared" si="0"/>
        <v>4.01</v>
      </c>
    </row>
    <row r="42" spans="1:11" ht="14.25" customHeight="1">
      <c r="A42" s="171">
        <v>39</v>
      </c>
      <c r="B42" s="69" t="s">
        <v>434</v>
      </c>
      <c r="C42" s="131" t="s">
        <v>309</v>
      </c>
      <c r="D42" s="11"/>
      <c r="E42" s="11" t="s">
        <v>443</v>
      </c>
      <c r="F42" s="121">
        <v>1</v>
      </c>
      <c r="G42" s="11">
        <v>0.5</v>
      </c>
      <c r="H42" s="11">
        <v>0.5</v>
      </c>
      <c r="I42" s="11">
        <v>0.01</v>
      </c>
      <c r="J42" s="11"/>
      <c r="K42" s="11">
        <f t="shared" si="0"/>
        <v>2.0099999999999998</v>
      </c>
    </row>
    <row r="43" spans="1:11" ht="14.25" customHeight="1">
      <c r="A43" s="171">
        <v>40</v>
      </c>
      <c r="B43" s="69" t="s">
        <v>421</v>
      </c>
      <c r="C43" s="11" t="s">
        <v>300</v>
      </c>
      <c r="D43" s="11"/>
      <c r="E43" s="11" t="s">
        <v>443</v>
      </c>
      <c r="F43" s="121">
        <v>3</v>
      </c>
      <c r="G43" s="11">
        <v>2</v>
      </c>
      <c r="H43" s="11">
        <v>4</v>
      </c>
      <c r="I43" s="11">
        <v>0.01</v>
      </c>
      <c r="J43" s="11"/>
      <c r="K43" s="11">
        <f t="shared" si="0"/>
        <v>9.01</v>
      </c>
    </row>
    <row r="44" spans="1:11" ht="14.25" customHeight="1">
      <c r="A44" s="171">
        <v>41</v>
      </c>
      <c r="B44" s="69" t="s">
        <v>417</v>
      </c>
      <c r="C44" s="11" t="s">
        <v>300</v>
      </c>
      <c r="D44" s="11"/>
      <c r="E44" s="11" t="s">
        <v>443</v>
      </c>
      <c r="F44" s="121">
        <v>2</v>
      </c>
      <c r="G44" s="11">
        <v>1</v>
      </c>
      <c r="H44" s="11">
        <v>2</v>
      </c>
      <c r="I44" s="11">
        <v>0.01</v>
      </c>
      <c r="J44" s="11">
        <v>5</v>
      </c>
      <c r="K44" s="11">
        <f t="shared" si="0"/>
        <v>10.01</v>
      </c>
    </row>
    <row r="45" spans="1:11" ht="14.25" customHeight="1">
      <c r="A45" s="171">
        <v>42</v>
      </c>
      <c r="B45" s="69" t="s">
        <v>302</v>
      </c>
      <c r="C45" s="131" t="s">
        <v>309</v>
      </c>
      <c r="D45" s="11"/>
      <c r="E45" s="11" t="s">
        <v>443</v>
      </c>
      <c r="F45" s="121">
        <v>2</v>
      </c>
      <c r="G45" s="11">
        <v>0.5</v>
      </c>
      <c r="H45" s="11">
        <v>0.5</v>
      </c>
      <c r="I45" s="11">
        <v>0.01</v>
      </c>
      <c r="J45" s="11"/>
      <c r="K45" s="11">
        <f t="shared" si="0"/>
        <v>3.01</v>
      </c>
    </row>
    <row r="46" spans="1:11" ht="14.25" customHeight="1">
      <c r="A46" s="171">
        <v>43</v>
      </c>
      <c r="B46" s="69" t="s">
        <v>439</v>
      </c>
      <c r="C46" s="11" t="s">
        <v>407</v>
      </c>
      <c r="D46" s="12"/>
      <c r="E46" s="11" t="s">
        <v>443</v>
      </c>
      <c r="F46" s="121">
        <v>2</v>
      </c>
      <c r="G46" s="11">
        <v>3</v>
      </c>
      <c r="H46" s="6"/>
      <c r="I46" s="11">
        <v>0.01</v>
      </c>
      <c r="J46" s="11"/>
      <c r="K46" s="11">
        <f t="shared" si="0"/>
        <v>5.01</v>
      </c>
    </row>
    <row r="47" spans="1:11" ht="14.25" customHeight="1">
      <c r="A47" s="171">
        <v>44</v>
      </c>
      <c r="B47" s="69" t="s">
        <v>420</v>
      </c>
      <c r="C47" s="11" t="s">
        <v>300</v>
      </c>
      <c r="D47" s="89"/>
      <c r="E47" s="11" t="s">
        <v>443</v>
      </c>
      <c r="F47" s="121">
        <v>2</v>
      </c>
      <c r="G47" s="11">
        <v>2</v>
      </c>
      <c r="H47" s="89">
        <v>3</v>
      </c>
      <c r="I47" s="11">
        <v>0.01</v>
      </c>
      <c r="J47" s="11">
        <v>5</v>
      </c>
      <c r="K47" s="11">
        <f t="shared" si="0"/>
        <v>12.01</v>
      </c>
    </row>
    <row r="48" spans="1:11" ht="14.25" customHeight="1">
      <c r="A48" s="171">
        <v>45</v>
      </c>
      <c r="B48" s="69" t="s">
        <v>437</v>
      </c>
      <c r="C48" s="11" t="s">
        <v>300</v>
      </c>
      <c r="D48" s="89"/>
      <c r="E48" s="11" t="s">
        <v>443</v>
      </c>
      <c r="F48" s="121">
        <v>3</v>
      </c>
      <c r="G48" s="11">
        <v>2</v>
      </c>
      <c r="H48" s="89">
        <v>2</v>
      </c>
      <c r="I48" s="11">
        <v>0.01</v>
      </c>
      <c r="J48" s="11"/>
      <c r="K48" s="11">
        <f t="shared" si="0"/>
        <v>7.01</v>
      </c>
    </row>
    <row r="49" spans="1:11" ht="14.25" customHeight="1">
      <c r="A49" s="171">
        <v>46</v>
      </c>
      <c r="B49" s="109" t="s">
        <v>659</v>
      </c>
      <c r="C49" s="91" t="s">
        <v>300</v>
      </c>
      <c r="D49" s="12"/>
      <c r="E49" s="91" t="s">
        <v>443</v>
      </c>
      <c r="F49" s="121">
        <v>3</v>
      </c>
      <c r="G49" s="121">
        <v>2</v>
      </c>
      <c r="H49" s="121">
        <v>4</v>
      </c>
      <c r="I49" s="121">
        <v>0.01</v>
      </c>
      <c r="J49" s="121"/>
      <c r="K49" s="121">
        <f t="shared" ref="K49:K55" si="2">SUM(F49:J49)</f>
        <v>9.01</v>
      </c>
    </row>
    <row r="50" spans="1:11" ht="15.75" customHeight="1">
      <c r="A50" s="171">
        <v>47</v>
      </c>
      <c r="B50" s="109" t="s">
        <v>660</v>
      </c>
      <c r="C50" s="15" t="s">
        <v>300</v>
      </c>
      <c r="D50" s="15"/>
      <c r="E50" s="91" t="s">
        <v>443</v>
      </c>
      <c r="F50" s="121">
        <v>2</v>
      </c>
      <c r="G50" s="121">
        <v>1</v>
      </c>
      <c r="H50" s="121">
        <v>2</v>
      </c>
      <c r="I50" s="121">
        <v>0.01</v>
      </c>
      <c r="J50" s="121">
        <v>5</v>
      </c>
      <c r="K50" s="121">
        <f t="shared" si="2"/>
        <v>10.01</v>
      </c>
    </row>
    <row r="51" spans="1:11" ht="15.75" customHeight="1">
      <c r="A51" s="171">
        <v>48</v>
      </c>
      <c r="B51" s="96" t="s">
        <v>661</v>
      </c>
      <c r="C51" s="15" t="s">
        <v>300</v>
      </c>
      <c r="D51" s="15"/>
      <c r="E51" s="91" t="s">
        <v>443</v>
      </c>
      <c r="F51" s="121">
        <v>3</v>
      </c>
      <c r="G51" s="121">
        <v>2</v>
      </c>
      <c r="H51" s="121">
        <v>4</v>
      </c>
      <c r="I51" s="121">
        <v>0.01</v>
      </c>
      <c r="J51" s="121"/>
      <c r="K51" s="121">
        <f t="shared" si="2"/>
        <v>9.01</v>
      </c>
    </row>
    <row r="52" spans="1:11" ht="14.25" customHeight="1">
      <c r="A52" s="171">
        <v>49</v>
      </c>
      <c r="B52" s="110" t="s">
        <v>662</v>
      </c>
      <c r="C52" s="91" t="s">
        <v>300</v>
      </c>
      <c r="D52" s="90"/>
      <c r="E52" s="91" t="s">
        <v>443</v>
      </c>
      <c r="F52" s="121">
        <v>2</v>
      </c>
      <c r="G52" s="121">
        <v>1</v>
      </c>
      <c r="H52" s="121">
        <v>2</v>
      </c>
      <c r="I52" s="121">
        <v>0.01</v>
      </c>
      <c r="J52" s="121">
        <v>5</v>
      </c>
      <c r="K52" s="121">
        <f t="shared" si="2"/>
        <v>10.01</v>
      </c>
    </row>
    <row r="53" spans="1:11" ht="14.25" customHeight="1">
      <c r="A53" s="171">
        <v>50</v>
      </c>
      <c r="B53" s="96" t="s">
        <v>663</v>
      </c>
      <c r="C53" s="91" t="s">
        <v>300</v>
      </c>
      <c r="D53" s="90"/>
      <c r="E53" s="91" t="s">
        <v>443</v>
      </c>
      <c r="F53" s="121">
        <v>3</v>
      </c>
      <c r="G53" s="121">
        <v>2</v>
      </c>
      <c r="H53" s="121">
        <v>4</v>
      </c>
      <c r="I53" s="121">
        <v>0.01</v>
      </c>
      <c r="J53" s="121"/>
      <c r="K53" s="121">
        <f t="shared" si="2"/>
        <v>9.01</v>
      </c>
    </row>
    <row r="54" spans="1:11" ht="14.25" customHeight="1">
      <c r="A54" s="171">
        <v>51</v>
      </c>
      <c r="B54" s="109" t="s">
        <v>664</v>
      </c>
      <c r="C54" s="91" t="s">
        <v>300</v>
      </c>
      <c r="D54" s="90"/>
      <c r="E54" s="91" t="s">
        <v>443</v>
      </c>
      <c r="F54" s="121">
        <v>2</v>
      </c>
      <c r="G54" s="121">
        <v>1</v>
      </c>
      <c r="H54" s="121">
        <v>2</v>
      </c>
      <c r="I54" s="121">
        <v>0.01</v>
      </c>
      <c r="J54" s="121">
        <v>5</v>
      </c>
      <c r="K54" s="121">
        <f t="shared" si="2"/>
        <v>10.01</v>
      </c>
    </row>
    <row r="55" spans="1:11" ht="14.25" customHeight="1">
      <c r="A55" s="171">
        <v>52</v>
      </c>
      <c r="B55" s="96" t="s">
        <v>665</v>
      </c>
      <c r="C55" s="91" t="s">
        <v>407</v>
      </c>
      <c r="D55" s="90"/>
      <c r="E55" s="91" t="s">
        <v>443</v>
      </c>
      <c r="F55" s="121">
        <v>2</v>
      </c>
      <c r="G55" s="121">
        <v>3</v>
      </c>
      <c r="H55" s="122"/>
      <c r="I55" s="121">
        <v>0.01</v>
      </c>
      <c r="J55" s="121"/>
      <c r="K55" s="121">
        <f t="shared" si="2"/>
        <v>5.01</v>
      </c>
    </row>
    <row r="56" spans="1:11" ht="14.25" customHeight="1">
      <c r="A56" s="171">
        <v>53</v>
      </c>
      <c r="B56" s="96" t="s">
        <v>666</v>
      </c>
      <c r="C56" s="91" t="s">
        <v>228</v>
      </c>
      <c r="D56" s="121">
        <v>8</v>
      </c>
      <c r="E56" s="91" t="s">
        <v>443</v>
      </c>
      <c r="F56" s="121">
        <v>8</v>
      </c>
      <c r="G56" s="121">
        <v>4</v>
      </c>
      <c r="H56" s="121">
        <v>2</v>
      </c>
      <c r="I56" s="121">
        <v>0.02</v>
      </c>
      <c r="J56" s="121">
        <v>0</v>
      </c>
      <c r="K56" s="121">
        <f t="shared" ref="K56:K66" si="3">SUM(F56:J56)</f>
        <v>14.02</v>
      </c>
    </row>
    <row r="57" spans="1:11" ht="15" customHeight="1">
      <c r="A57" s="171">
        <v>54</v>
      </c>
      <c r="B57" s="96" t="s">
        <v>667</v>
      </c>
      <c r="C57" s="91" t="s">
        <v>300</v>
      </c>
      <c r="D57" s="90"/>
      <c r="E57" s="91" t="s">
        <v>443</v>
      </c>
      <c r="F57" s="121">
        <v>3</v>
      </c>
      <c r="G57" s="121">
        <v>2</v>
      </c>
      <c r="H57" s="121">
        <v>4</v>
      </c>
      <c r="I57" s="121">
        <v>0.01</v>
      </c>
      <c r="J57" s="121"/>
      <c r="K57" s="121">
        <f t="shared" si="3"/>
        <v>9.01</v>
      </c>
    </row>
    <row r="58" spans="1:11" ht="20.25" customHeight="1">
      <c r="A58" s="171">
        <v>55</v>
      </c>
      <c r="B58" s="96" t="s">
        <v>668</v>
      </c>
      <c r="C58" s="91" t="s">
        <v>300</v>
      </c>
      <c r="D58" s="90"/>
      <c r="E58" s="91" t="s">
        <v>443</v>
      </c>
      <c r="F58" s="121">
        <v>2</v>
      </c>
      <c r="G58" s="121">
        <v>1</v>
      </c>
      <c r="H58" s="121">
        <v>2</v>
      </c>
      <c r="I58" s="121">
        <v>0.01</v>
      </c>
      <c r="J58" s="121">
        <v>5</v>
      </c>
      <c r="K58" s="121">
        <f t="shared" si="3"/>
        <v>10.01</v>
      </c>
    </row>
    <row r="59" spans="1:11" ht="20.25" customHeight="1">
      <c r="A59" s="171">
        <v>56</v>
      </c>
      <c r="B59" s="96" t="s">
        <v>669</v>
      </c>
      <c r="C59" s="91" t="s">
        <v>300</v>
      </c>
      <c r="D59" s="90"/>
      <c r="E59" s="91" t="s">
        <v>443</v>
      </c>
      <c r="F59" s="121">
        <v>3</v>
      </c>
      <c r="G59" s="121">
        <v>2</v>
      </c>
      <c r="H59" s="121">
        <v>4</v>
      </c>
      <c r="I59" s="121">
        <v>0.01</v>
      </c>
      <c r="J59" s="121"/>
      <c r="K59" s="121">
        <f t="shared" si="3"/>
        <v>9.01</v>
      </c>
    </row>
    <row r="60" spans="1:11" ht="20.25" customHeight="1">
      <c r="A60" s="171">
        <v>57</v>
      </c>
      <c r="B60" s="166" t="s">
        <v>814</v>
      </c>
      <c r="C60" s="169" t="s">
        <v>300</v>
      </c>
      <c r="D60" s="170"/>
      <c r="E60" s="169" t="s">
        <v>443</v>
      </c>
      <c r="F60" s="169">
        <v>3</v>
      </c>
      <c r="G60" s="169">
        <v>2</v>
      </c>
      <c r="H60" s="169">
        <v>4</v>
      </c>
      <c r="I60" s="169">
        <v>0.01</v>
      </c>
      <c r="J60" s="169"/>
      <c r="K60" s="169">
        <f t="shared" ref="K60" si="4">SUM(F60:J60)</f>
        <v>9.01</v>
      </c>
    </row>
    <row r="61" spans="1:11" ht="20.25" customHeight="1">
      <c r="A61" s="171">
        <v>58</v>
      </c>
      <c r="B61" s="109" t="s">
        <v>670</v>
      </c>
      <c r="C61" s="91" t="s">
        <v>300</v>
      </c>
      <c r="D61" s="90"/>
      <c r="E61" s="91" t="s">
        <v>443</v>
      </c>
      <c r="F61" s="121">
        <v>2</v>
      </c>
      <c r="G61" s="121">
        <v>1</v>
      </c>
      <c r="H61" s="121">
        <v>2</v>
      </c>
      <c r="I61" s="121">
        <v>0.01</v>
      </c>
      <c r="J61" s="121">
        <v>5</v>
      </c>
      <c r="K61" s="121">
        <f t="shared" si="3"/>
        <v>10.01</v>
      </c>
    </row>
    <row r="62" spans="1:11" ht="20.25" customHeight="1">
      <c r="A62" s="171">
        <v>59</v>
      </c>
      <c r="B62" s="96" t="s">
        <v>671</v>
      </c>
      <c r="C62" s="91" t="s">
        <v>300</v>
      </c>
      <c r="D62" s="90"/>
      <c r="E62" s="91" t="s">
        <v>443</v>
      </c>
      <c r="F62" s="121">
        <v>3</v>
      </c>
      <c r="G62" s="121">
        <v>2</v>
      </c>
      <c r="H62" s="121">
        <v>4</v>
      </c>
      <c r="I62" s="121">
        <v>0.01</v>
      </c>
      <c r="J62" s="121"/>
      <c r="K62" s="121">
        <f t="shared" si="3"/>
        <v>9.01</v>
      </c>
    </row>
    <row r="63" spans="1:11" ht="20.25" customHeight="1">
      <c r="A63" s="171">
        <v>60</v>
      </c>
      <c r="B63" s="96" t="s">
        <v>672</v>
      </c>
      <c r="C63" s="91" t="s">
        <v>300</v>
      </c>
      <c r="D63" s="90"/>
      <c r="E63" s="91" t="s">
        <v>443</v>
      </c>
      <c r="F63" s="121">
        <v>2</v>
      </c>
      <c r="G63" s="121">
        <v>1</v>
      </c>
      <c r="H63" s="121">
        <v>2</v>
      </c>
      <c r="I63" s="121">
        <v>0.01</v>
      </c>
      <c r="J63" s="121">
        <v>5</v>
      </c>
      <c r="K63" s="121">
        <f t="shared" si="3"/>
        <v>10.01</v>
      </c>
    </row>
    <row r="64" spans="1:11" ht="20.25" customHeight="1">
      <c r="A64" s="171">
        <v>61</v>
      </c>
      <c r="B64" s="109" t="s">
        <v>673</v>
      </c>
      <c r="C64" s="91" t="s">
        <v>300</v>
      </c>
      <c r="D64" s="90"/>
      <c r="E64" s="91" t="s">
        <v>443</v>
      </c>
      <c r="F64" s="121">
        <v>3</v>
      </c>
      <c r="G64" s="121">
        <v>2</v>
      </c>
      <c r="H64" s="121">
        <v>4</v>
      </c>
      <c r="I64" s="121">
        <v>0.01</v>
      </c>
      <c r="J64" s="121"/>
      <c r="K64" s="121">
        <f t="shared" si="3"/>
        <v>9.01</v>
      </c>
    </row>
    <row r="65" spans="1:12" ht="20.25" customHeight="1">
      <c r="A65" s="171">
        <v>62</v>
      </c>
      <c r="B65" s="96" t="s">
        <v>674</v>
      </c>
      <c r="C65" s="91" t="s">
        <v>300</v>
      </c>
      <c r="D65" s="90"/>
      <c r="E65" s="91" t="s">
        <v>443</v>
      </c>
      <c r="F65" s="121">
        <v>2</v>
      </c>
      <c r="G65" s="121">
        <v>1</v>
      </c>
      <c r="H65" s="121">
        <v>2</v>
      </c>
      <c r="I65" s="121">
        <v>0.01</v>
      </c>
      <c r="J65" s="121">
        <v>5</v>
      </c>
      <c r="K65" s="121">
        <f t="shared" si="3"/>
        <v>10.01</v>
      </c>
    </row>
    <row r="66" spans="1:12" ht="20.25" customHeight="1">
      <c r="A66" s="171">
        <v>63</v>
      </c>
      <c r="B66" s="96" t="s">
        <v>675</v>
      </c>
      <c r="C66" s="91" t="s">
        <v>407</v>
      </c>
      <c r="D66" s="90"/>
      <c r="E66" s="91" t="s">
        <v>443</v>
      </c>
      <c r="F66" s="121">
        <v>2</v>
      </c>
      <c r="G66" s="121">
        <v>3</v>
      </c>
      <c r="H66" s="122"/>
      <c r="I66" s="121">
        <v>0.01</v>
      </c>
      <c r="J66" s="121"/>
      <c r="K66" s="121">
        <f t="shared" si="3"/>
        <v>5.01</v>
      </c>
    </row>
    <row r="67" spans="1:12" ht="20.25" customHeight="1">
      <c r="A67" s="171">
        <v>64</v>
      </c>
      <c r="B67" s="109" t="s">
        <v>676</v>
      </c>
      <c r="C67" s="121" t="s">
        <v>300</v>
      </c>
      <c r="D67" s="121"/>
      <c r="E67" s="91" t="s">
        <v>443</v>
      </c>
      <c r="F67" s="121">
        <v>3</v>
      </c>
      <c r="G67" s="121">
        <v>2</v>
      </c>
      <c r="H67" s="121">
        <v>4</v>
      </c>
      <c r="I67" s="121">
        <v>0.01</v>
      </c>
      <c r="J67" s="121"/>
      <c r="K67" s="121">
        <f t="shared" ref="K67:K72" si="5">SUM(F67:J67)</f>
        <v>9.01</v>
      </c>
    </row>
    <row r="68" spans="1:12" ht="20.25" customHeight="1">
      <c r="A68" s="171">
        <v>65</v>
      </c>
      <c r="B68" s="96" t="s">
        <v>677</v>
      </c>
      <c r="C68" s="121" t="s">
        <v>300</v>
      </c>
      <c r="D68" s="121"/>
      <c r="E68" s="91" t="s">
        <v>443</v>
      </c>
      <c r="F68" s="121">
        <v>2</v>
      </c>
      <c r="G68" s="121">
        <v>1</v>
      </c>
      <c r="H68" s="121">
        <v>2</v>
      </c>
      <c r="I68" s="121">
        <v>0.01</v>
      </c>
      <c r="J68" s="121">
        <v>5</v>
      </c>
      <c r="K68" s="121">
        <f t="shared" si="5"/>
        <v>10.01</v>
      </c>
    </row>
    <row r="69" spans="1:12" ht="20.25" customHeight="1">
      <c r="A69" s="171">
        <v>66</v>
      </c>
      <c r="B69" s="109" t="s">
        <v>678</v>
      </c>
      <c r="C69" s="91" t="s">
        <v>300</v>
      </c>
      <c r="D69" s="90"/>
      <c r="E69" s="91" t="s">
        <v>443</v>
      </c>
      <c r="F69" s="121">
        <v>3</v>
      </c>
      <c r="G69" s="121">
        <v>2</v>
      </c>
      <c r="H69" s="121">
        <v>4</v>
      </c>
      <c r="I69" s="121">
        <v>0.01</v>
      </c>
      <c r="J69" s="121"/>
      <c r="K69" s="121">
        <f t="shared" si="5"/>
        <v>9.01</v>
      </c>
    </row>
    <row r="70" spans="1:12" ht="20.25" customHeight="1">
      <c r="A70" s="171">
        <v>67</v>
      </c>
      <c r="B70" s="96" t="s">
        <v>679</v>
      </c>
      <c r="C70" s="91" t="s">
        <v>407</v>
      </c>
      <c r="D70" s="92"/>
      <c r="E70" s="91" t="s">
        <v>443</v>
      </c>
      <c r="F70" s="121">
        <v>2</v>
      </c>
      <c r="G70" s="121">
        <v>1</v>
      </c>
      <c r="H70" s="121">
        <v>2</v>
      </c>
      <c r="I70" s="121">
        <v>0.01</v>
      </c>
      <c r="J70" s="121">
        <v>5</v>
      </c>
      <c r="K70" s="121">
        <f t="shared" si="5"/>
        <v>10.01</v>
      </c>
    </row>
    <row r="71" spans="1:12" ht="20.25" customHeight="1">
      <c r="A71" s="171">
        <v>68</v>
      </c>
      <c r="B71" s="96" t="s">
        <v>647</v>
      </c>
      <c r="C71" s="91" t="s">
        <v>300</v>
      </c>
      <c r="D71" s="92"/>
      <c r="E71" s="91" t="s">
        <v>443</v>
      </c>
      <c r="F71" s="121">
        <v>3</v>
      </c>
      <c r="G71" s="121">
        <v>2</v>
      </c>
      <c r="H71" s="121">
        <v>4</v>
      </c>
      <c r="I71" s="121">
        <v>0.01</v>
      </c>
      <c r="J71" s="121"/>
      <c r="K71" s="121">
        <f t="shared" si="5"/>
        <v>9.01</v>
      </c>
    </row>
    <row r="72" spans="1:12" ht="20.25" customHeight="1">
      <c r="A72" s="171">
        <v>69</v>
      </c>
      <c r="B72" s="96" t="s">
        <v>680</v>
      </c>
      <c r="C72" s="91" t="s">
        <v>300</v>
      </c>
      <c r="D72" s="92"/>
      <c r="E72" s="91" t="s">
        <v>443</v>
      </c>
      <c r="F72" s="121">
        <v>2</v>
      </c>
      <c r="G72" s="121">
        <v>1</v>
      </c>
      <c r="H72" s="121">
        <v>2</v>
      </c>
      <c r="I72" s="121">
        <v>0.01</v>
      </c>
      <c r="J72" s="121">
        <v>5</v>
      </c>
      <c r="K72" s="121">
        <f t="shared" si="5"/>
        <v>10.01</v>
      </c>
    </row>
    <row r="73" spans="1:12" ht="30">
      <c r="A73" s="171">
        <v>70</v>
      </c>
      <c r="B73" s="96" t="s">
        <v>681</v>
      </c>
      <c r="C73" s="121" t="s">
        <v>228</v>
      </c>
      <c r="D73" s="121">
        <v>4</v>
      </c>
      <c r="E73" s="91" t="s">
        <v>443</v>
      </c>
      <c r="F73" s="121">
        <v>4</v>
      </c>
      <c r="G73" s="121">
        <v>2</v>
      </c>
      <c r="H73" s="121">
        <v>2</v>
      </c>
      <c r="I73" s="121">
        <v>0.01</v>
      </c>
      <c r="J73" s="121"/>
      <c r="K73" s="121">
        <f t="shared" ref="K73:K74" si="6">SUM(F73:J73)</f>
        <v>8.01</v>
      </c>
    </row>
    <row r="74" spans="1:12" ht="20.25" customHeight="1">
      <c r="A74" s="171">
        <v>71</v>
      </c>
      <c r="B74" s="111" t="s">
        <v>682</v>
      </c>
      <c r="C74" s="91" t="s">
        <v>300</v>
      </c>
      <c r="D74" s="92"/>
      <c r="E74" s="91" t="s">
        <v>443</v>
      </c>
      <c r="F74" s="121">
        <v>2</v>
      </c>
      <c r="G74" s="121">
        <v>1</v>
      </c>
      <c r="H74" s="121">
        <v>2</v>
      </c>
      <c r="I74" s="121">
        <v>0.01</v>
      </c>
      <c r="J74" s="121">
        <v>5</v>
      </c>
      <c r="K74" s="121">
        <f t="shared" si="6"/>
        <v>10.01</v>
      </c>
    </row>
    <row r="75" spans="1:12" ht="20.25" customHeight="1">
      <c r="A75" s="91"/>
      <c r="B75" s="12"/>
      <c r="C75" s="91"/>
      <c r="D75" s="121"/>
      <c r="E75" s="91"/>
      <c r="F75" s="121"/>
      <c r="G75" s="92"/>
      <c r="H75" s="92"/>
      <c r="I75" s="92"/>
      <c r="J75" s="92"/>
      <c r="K75" s="92"/>
    </row>
    <row r="76" spans="1:12" s="27" customFormat="1" ht="14.25" customHeight="1">
      <c r="A76" s="15"/>
      <c r="B76" s="120" t="s">
        <v>0</v>
      </c>
      <c r="C76" s="15"/>
      <c r="D76" s="15">
        <f>SUBTOTAL(9,D4:D75)</f>
        <v>109</v>
      </c>
      <c r="E76" s="15"/>
      <c r="F76" s="15">
        <f>SUBTOTAL(9,F4:F75)</f>
        <v>241</v>
      </c>
      <c r="G76" s="15">
        <f t="shared" ref="G76:K76" si="7">SUBTOTAL(9,G4:G75)</f>
        <v>128</v>
      </c>
      <c r="H76" s="15">
        <f t="shared" si="7"/>
        <v>159</v>
      </c>
      <c r="I76" s="15">
        <f t="shared" si="7"/>
        <v>1.9800000000000004</v>
      </c>
      <c r="J76" s="15">
        <f t="shared" si="7"/>
        <v>98</v>
      </c>
      <c r="K76" s="15">
        <f t="shared" si="7"/>
        <v>627.97999999999956</v>
      </c>
      <c r="L76" s="3"/>
    </row>
    <row r="81" spans="2:11" ht="14.25" customHeight="1">
      <c r="B81" s="132" t="s">
        <v>40</v>
      </c>
      <c r="C81" s="134"/>
      <c r="D81" s="131">
        <v>13</v>
      </c>
    </row>
    <row r="82" spans="2:11" ht="14.25" customHeight="1">
      <c r="B82" s="132" t="s">
        <v>41</v>
      </c>
      <c r="C82" s="134"/>
      <c r="D82" s="131">
        <v>48</v>
      </c>
    </row>
    <row r="83" spans="2:11" ht="14.25" customHeight="1">
      <c r="B83" s="132" t="s">
        <v>42</v>
      </c>
      <c r="C83" s="134"/>
      <c r="D83" s="131">
        <v>4</v>
      </c>
      <c r="F83" s="175" t="s">
        <v>98</v>
      </c>
      <c r="G83" s="175"/>
      <c r="H83" s="175"/>
      <c r="I83" s="175"/>
      <c r="J83" s="175"/>
      <c r="K83" s="175"/>
    </row>
    <row r="84" spans="2:11" ht="14.25" customHeight="1">
      <c r="B84" s="132" t="s">
        <v>43</v>
      </c>
      <c r="C84" s="134"/>
      <c r="D84" s="131">
        <v>6</v>
      </c>
    </row>
    <row r="85" spans="2:11" ht="14.25" customHeight="1">
      <c r="B85" s="132" t="s">
        <v>772</v>
      </c>
      <c r="C85" s="134"/>
      <c r="D85" s="131">
        <v>0</v>
      </c>
    </row>
    <row r="86" spans="2:11" ht="14.25" customHeight="1">
      <c r="B86" s="132" t="s">
        <v>495</v>
      </c>
      <c r="C86" s="134"/>
      <c r="D86" s="131">
        <v>0</v>
      </c>
    </row>
    <row r="87" spans="2:11" ht="14.25" customHeight="1">
      <c r="B87" s="132" t="s">
        <v>0</v>
      </c>
      <c r="C87" s="134"/>
      <c r="D87" s="15">
        <f>SUM(D81:D86)</f>
        <v>71</v>
      </c>
    </row>
  </sheetData>
  <sortState ref="B4:K47">
    <sortCondition ref="B4"/>
  </sortState>
  <mergeCells count="7">
    <mergeCell ref="F83:K83"/>
    <mergeCell ref="A1:L1"/>
    <mergeCell ref="A2:A3"/>
    <mergeCell ref="B2:B3"/>
    <mergeCell ref="D2:I2"/>
    <mergeCell ref="K2:K3"/>
    <mergeCell ref="J2:J3"/>
  </mergeCells>
  <pageMargins left="0.71" right="0.70866141732283472" top="0.17" bottom="0.16" header="0.17" footer="14316557.65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C97"/>
  <sheetViews>
    <sheetView topLeftCell="A73" workbookViewId="0">
      <selection activeCell="I84" sqref="I84"/>
    </sheetView>
  </sheetViews>
  <sheetFormatPr defaultColWidth="9.140625" defaultRowHeight="16.5" customHeight="1"/>
  <cols>
    <col min="1" max="1" width="5" style="1" customWidth="1"/>
    <col min="2" max="2" width="52.7109375" style="13" customWidth="1"/>
    <col min="3" max="3" width="6" style="13" customWidth="1"/>
    <col min="4" max="4" width="6.42578125" style="1" customWidth="1"/>
    <col min="5" max="5" width="14.140625" style="1" customWidth="1"/>
    <col min="6" max="6" width="8.42578125" style="3" customWidth="1"/>
    <col min="7" max="7" width="7.28515625" style="3" customWidth="1"/>
    <col min="8" max="8" width="7.5703125" style="3" customWidth="1"/>
    <col min="9" max="9" width="7.140625" style="3" customWidth="1"/>
    <col min="10" max="10" width="8.42578125" style="3" customWidth="1"/>
    <col min="11" max="11" width="12.7109375" style="3" customWidth="1"/>
    <col min="12" max="12" width="9.140625" style="3" hidden="1" customWidth="1"/>
    <col min="13" max="13" width="11.85546875" style="3" bestFit="1" customWidth="1"/>
    <col min="14" max="16384" width="9.140625" style="3"/>
  </cols>
  <sheetData>
    <row r="1" spans="1:12" ht="18" customHeight="1">
      <c r="A1" s="177" t="s">
        <v>823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15.75">
      <c r="A2" s="202" t="s">
        <v>12</v>
      </c>
      <c r="B2" s="217" t="s">
        <v>13</v>
      </c>
      <c r="C2" s="42"/>
      <c r="D2" s="207" t="s">
        <v>21</v>
      </c>
      <c r="E2" s="215"/>
      <c r="F2" s="215"/>
      <c r="G2" s="215"/>
      <c r="H2" s="215"/>
      <c r="I2" s="215"/>
      <c r="J2" s="206" t="s">
        <v>509</v>
      </c>
      <c r="K2" s="216" t="s">
        <v>15</v>
      </c>
    </row>
    <row r="3" spans="1:12" ht="15.75">
      <c r="A3" s="203"/>
      <c r="B3" s="212"/>
      <c r="C3" s="40"/>
      <c r="D3" s="120" t="s">
        <v>3</v>
      </c>
      <c r="E3" s="9" t="s">
        <v>2</v>
      </c>
      <c r="F3" s="10" t="s">
        <v>16</v>
      </c>
      <c r="G3" s="10" t="s">
        <v>18</v>
      </c>
      <c r="H3" s="10" t="s">
        <v>17</v>
      </c>
      <c r="I3" s="10" t="s">
        <v>19</v>
      </c>
      <c r="J3" s="207"/>
      <c r="K3" s="203"/>
    </row>
    <row r="4" spans="1:12" ht="16.5" customHeight="1">
      <c r="A4" s="21">
        <v>1</v>
      </c>
      <c r="B4" s="50" t="s">
        <v>451</v>
      </c>
      <c r="C4" s="72" t="s">
        <v>228</v>
      </c>
      <c r="D4" s="53">
        <v>12</v>
      </c>
      <c r="E4" s="11" t="s">
        <v>466</v>
      </c>
      <c r="F4" s="11">
        <v>11</v>
      </c>
      <c r="G4" s="11">
        <v>4</v>
      </c>
      <c r="H4" s="11">
        <v>3</v>
      </c>
      <c r="I4" s="16">
        <v>0.2</v>
      </c>
      <c r="J4" s="16">
        <v>0</v>
      </c>
      <c r="K4" s="11">
        <f t="shared" ref="K4:K51" si="0">SUM(F4:J4)</f>
        <v>18.2</v>
      </c>
    </row>
    <row r="5" spans="1:12" ht="16.5" customHeight="1">
      <c r="A5" s="21">
        <v>2</v>
      </c>
      <c r="B5" s="51" t="s">
        <v>452</v>
      </c>
      <c r="C5" s="72" t="s">
        <v>228</v>
      </c>
      <c r="D5" s="53">
        <v>6</v>
      </c>
      <c r="E5" s="11" t="s">
        <v>466</v>
      </c>
      <c r="F5" s="11">
        <v>6</v>
      </c>
      <c r="G5" s="11">
        <v>4</v>
      </c>
      <c r="H5" s="11">
        <v>3</v>
      </c>
      <c r="I5" s="16">
        <v>0.1</v>
      </c>
      <c r="J5" s="16"/>
      <c r="K5" s="11">
        <f t="shared" si="0"/>
        <v>13.1</v>
      </c>
    </row>
    <row r="6" spans="1:12" ht="16.5" customHeight="1">
      <c r="A6" s="21">
        <v>3</v>
      </c>
      <c r="B6" s="18" t="s">
        <v>472</v>
      </c>
      <c r="C6" s="72" t="s">
        <v>228</v>
      </c>
      <c r="D6" s="53">
        <v>5</v>
      </c>
      <c r="E6" s="11" t="s">
        <v>467</v>
      </c>
      <c r="F6" s="11">
        <v>7</v>
      </c>
      <c r="G6" s="11">
        <v>3</v>
      </c>
      <c r="H6" s="11">
        <v>3</v>
      </c>
      <c r="I6" s="16">
        <v>0.1</v>
      </c>
      <c r="J6" s="16">
        <v>6</v>
      </c>
      <c r="K6" s="11">
        <f t="shared" si="0"/>
        <v>19.100000000000001</v>
      </c>
    </row>
    <row r="7" spans="1:12" ht="16.5" customHeight="1">
      <c r="A7" s="21">
        <v>4</v>
      </c>
      <c r="B7" s="48" t="s">
        <v>469</v>
      </c>
      <c r="C7" s="72" t="s">
        <v>228</v>
      </c>
      <c r="D7" s="54">
        <v>8</v>
      </c>
      <c r="E7" s="11" t="s">
        <v>468</v>
      </c>
      <c r="F7" s="11">
        <v>10</v>
      </c>
      <c r="G7" s="11">
        <v>2</v>
      </c>
      <c r="H7" s="11">
        <v>2</v>
      </c>
      <c r="I7" s="16">
        <v>0.1</v>
      </c>
      <c r="J7" s="16">
        <v>0</v>
      </c>
      <c r="K7" s="11">
        <f t="shared" si="0"/>
        <v>14.1</v>
      </c>
    </row>
    <row r="8" spans="1:12" ht="16.5" customHeight="1">
      <c r="A8" s="21">
        <v>5</v>
      </c>
      <c r="B8" s="48" t="s">
        <v>470</v>
      </c>
      <c r="C8" s="72" t="s">
        <v>228</v>
      </c>
      <c r="D8" s="54">
        <v>8</v>
      </c>
      <c r="E8" s="11" t="s">
        <v>468</v>
      </c>
      <c r="F8" s="11">
        <v>9</v>
      </c>
      <c r="G8" s="11">
        <v>2</v>
      </c>
      <c r="H8" s="11">
        <v>3</v>
      </c>
      <c r="I8" s="16">
        <v>0.1</v>
      </c>
      <c r="J8" s="16"/>
      <c r="K8" s="11">
        <f t="shared" si="0"/>
        <v>14.1</v>
      </c>
    </row>
    <row r="9" spans="1:12" ht="16.5" customHeight="1">
      <c r="A9" s="21">
        <v>6</v>
      </c>
      <c r="B9" s="18" t="s">
        <v>471</v>
      </c>
      <c r="C9" s="72" t="s">
        <v>228</v>
      </c>
      <c r="D9" s="54">
        <v>6</v>
      </c>
      <c r="E9" s="11" t="s">
        <v>468</v>
      </c>
      <c r="F9" s="11">
        <v>8</v>
      </c>
      <c r="G9" s="11">
        <v>2</v>
      </c>
      <c r="H9" s="11">
        <v>2</v>
      </c>
      <c r="I9" s="16">
        <v>0.1</v>
      </c>
      <c r="J9" s="16"/>
      <c r="K9" s="11">
        <f t="shared" si="0"/>
        <v>12.1</v>
      </c>
    </row>
    <row r="10" spans="1:12" ht="16.5" customHeight="1">
      <c r="A10" s="21">
        <v>7</v>
      </c>
      <c r="B10" s="52" t="s">
        <v>7</v>
      </c>
      <c r="C10" s="72" t="s">
        <v>300</v>
      </c>
      <c r="D10" s="14"/>
      <c r="E10" s="11" t="s">
        <v>466</v>
      </c>
      <c r="F10" s="11">
        <v>1</v>
      </c>
      <c r="G10" s="11">
        <v>1</v>
      </c>
      <c r="H10" s="11">
        <v>1</v>
      </c>
      <c r="I10" s="16">
        <v>0.01</v>
      </c>
      <c r="J10" s="16"/>
      <c r="K10" s="11">
        <f t="shared" si="0"/>
        <v>3.01</v>
      </c>
    </row>
    <row r="11" spans="1:12" ht="16.5" customHeight="1">
      <c r="A11" s="21">
        <v>8</v>
      </c>
      <c r="B11" s="166" t="s">
        <v>483</v>
      </c>
      <c r="C11" s="72" t="s">
        <v>300</v>
      </c>
      <c r="D11" s="14"/>
      <c r="E11" s="162" t="s">
        <v>794</v>
      </c>
      <c r="F11" s="162">
        <v>1</v>
      </c>
      <c r="G11" s="162">
        <v>1</v>
      </c>
      <c r="H11" s="162">
        <v>1</v>
      </c>
      <c r="I11" s="16">
        <v>0.01</v>
      </c>
      <c r="J11" s="16"/>
      <c r="K11" s="162">
        <f t="shared" ref="K11" si="1">SUM(F11:J11)</f>
        <v>3.01</v>
      </c>
    </row>
    <row r="12" spans="1:12" ht="16.5" customHeight="1">
      <c r="A12" s="21">
        <v>9</v>
      </c>
      <c r="B12" s="50" t="s">
        <v>453</v>
      </c>
      <c r="C12" s="72" t="s">
        <v>300</v>
      </c>
      <c r="D12" s="21"/>
      <c r="E12" s="11" t="s">
        <v>466</v>
      </c>
      <c r="F12" s="11">
        <v>2</v>
      </c>
      <c r="G12" s="11">
        <v>1</v>
      </c>
      <c r="H12" s="11">
        <v>1</v>
      </c>
      <c r="I12" s="16">
        <v>0.01</v>
      </c>
      <c r="J12" s="16"/>
      <c r="K12" s="11">
        <f t="shared" si="0"/>
        <v>4.01</v>
      </c>
    </row>
    <row r="13" spans="1:12" ht="16.5" customHeight="1">
      <c r="A13" s="21">
        <v>10</v>
      </c>
      <c r="B13" s="48" t="s">
        <v>454</v>
      </c>
      <c r="C13" s="72" t="s">
        <v>300</v>
      </c>
      <c r="D13" s="21"/>
      <c r="E13" s="11" t="s">
        <v>466</v>
      </c>
      <c r="F13" s="11">
        <v>3</v>
      </c>
      <c r="G13" s="11">
        <v>1</v>
      </c>
      <c r="H13" s="11">
        <v>1</v>
      </c>
      <c r="I13" s="16">
        <v>0.01</v>
      </c>
      <c r="J13" s="16"/>
      <c r="K13" s="11">
        <f t="shared" si="0"/>
        <v>5.01</v>
      </c>
    </row>
    <row r="14" spans="1:12" ht="16.5" customHeight="1">
      <c r="A14" s="21">
        <v>11</v>
      </c>
      <c r="B14" s="48" t="s">
        <v>455</v>
      </c>
      <c r="C14" s="72" t="s">
        <v>300</v>
      </c>
      <c r="D14" s="22"/>
      <c r="E14" s="11" t="s">
        <v>466</v>
      </c>
      <c r="F14" s="11">
        <v>2</v>
      </c>
      <c r="G14" s="11">
        <v>2</v>
      </c>
      <c r="H14" s="11">
        <v>1</v>
      </c>
      <c r="I14" s="16">
        <v>0.01</v>
      </c>
      <c r="J14" s="16"/>
      <c r="K14" s="11">
        <f t="shared" si="0"/>
        <v>5.01</v>
      </c>
    </row>
    <row r="15" spans="1:12" ht="16.5" customHeight="1">
      <c r="A15" s="21">
        <v>12</v>
      </c>
      <c r="B15" s="48" t="s">
        <v>456</v>
      </c>
      <c r="C15" s="72" t="s">
        <v>300</v>
      </c>
      <c r="D15" s="21"/>
      <c r="E15" s="11" t="s">
        <v>466</v>
      </c>
      <c r="F15" s="11">
        <v>2</v>
      </c>
      <c r="G15" s="11">
        <v>1</v>
      </c>
      <c r="H15" s="11">
        <v>1</v>
      </c>
      <c r="I15" s="16">
        <v>0.01</v>
      </c>
      <c r="J15" s="16"/>
      <c r="K15" s="11">
        <f t="shared" si="0"/>
        <v>4.01</v>
      </c>
    </row>
    <row r="16" spans="1:12" ht="16.5" customHeight="1">
      <c r="A16" s="21">
        <v>13</v>
      </c>
      <c r="B16" s="48" t="s">
        <v>457</v>
      </c>
      <c r="C16" s="72" t="s">
        <v>300</v>
      </c>
      <c r="D16" s="34"/>
      <c r="E16" s="11" t="s">
        <v>466</v>
      </c>
      <c r="F16" s="11">
        <v>2</v>
      </c>
      <c r="G16" s="11">
        <v>2</v>
      </c>
      <c r="H16" s="11">
        <v>2</v>
      </c>
      <c r="I16" s="16">
        <v>0.01</v>
      </c>
      <c r="J16" s="16"/>
      <c r="K16" s="11">
        <f t="shared" si="0"/>
        <v>6.01</v>
      </c>
    </row>
    <row r="17" spans="1:11" ht="16.5" customHeight="1">
      <c r="A17" s="21">
        <v>14</v>
      </c>
      <c r="B17" s="48" t="s">
        <v>813</v>
      </c>
      <c r="C17" s="72" t="s">
        <v>300</v>
      </c>
      <c r="D17" s="34"/>
      <c r="E17" s="169" t="s">
        <v>467</v>
      </c>
      <c r="F17" s="169">
        <v>2</v>
      </c>
      <c r="G17" s="169">
        <v>2</v>
      </c>
      <c r="H17" s="169">
        <v>1</v>
      </c>
      <c r="I17" s="16">
        <v>0.01</v>
      </c>
      <c r="J17" s="16"/>
      <c r="K17" s="169">
        <f t="shared" ref="K17" si="2">SUM(F17:J17)</f>
        <v>5.01</v>
      </c>
    </row>
    <row r="18" spans="1:11" ht="16.5" customHeight="1">
      <c r="A18" s="21">
        <v>15</v>
      </c>
      <c r="B18" s="48" t="s">
        <v>458</v>
      </c>
      <c r="C18" s="72" t="s">
        <v>300</v>
      </c>
      <c r="D18" s="33"/>
      <c r="E18" s="11" t="s">
        <v>466</v>
      </c>
      <c r="F18" s="11">
        <v>2</v>
      </c>
      <c r="G18" s="11">
        <v>1</v>
      </c>
      <c r="H18" s="11">
        <v>1</v>
      </c>
      <c r="I18" s="16">
        <v>0.01</v>
      </c>
      <c r="J18" s="16"/>
      <c r="K18" s="11">
        <f t="shared" si="0"/>
        <v>4.01</v>
      </c>
    </row>
    <row r="19" spans="1:11" ht="16.5" customHeight="1">
      <c r="A19" s="21">
        <v>16</v>
      </c>
      <c r="B19" s="50" t="s">
        <v>460</v>
      </c>
      <c r="C19" s="72" t="s">
        <v>300</v>
      </c>
      <c r="D19" s="14"/>
      <c r="E19" s="11" t="s">
        <v>466</v>
      </c>
      <c r="F19" s="11">
        <v>2</v>
      </c>
      <c r="G19" s="11">
        <v>2</v>
      </c>
      <c r="H19" s="11">
        <v>1</v>
      </c>
      <c r="I19" s="16">
        <v>0.01</v>
      </c>
      <c r="J19" s="16"/>
      <c r="K19" s="11">
        <f t="shared" si="0"/>
        <v>5.01</v>
      </c>
    </row>
    <row r="20" spans="1:11" ht="16.5" customHeight="1">
      <c r="A20" s="21">
        <v>17</v>
      </c>
      <c r="B20" s="48" t="s">
        <v>461</v>
      </c>
      <c r="C20" s="72" t="s">
        <v>300</v>
      </c>
      <c r="D20" s="14"/>
      <c r="E20" s="11" t="s">
        <v>466</v>
      </c>
      <c r="F20" s="11">
        <v>3</v>
      </c>
      <c r="G20" s="11">
        <v>1</v>
      </c>
      <c r="H20" s="11">
        <v>1</v>
      </c>
      <c r="I20" s="16">
        <v>0.01</v>
      </c>
      <c r="J20" s="16"/>
      <c r="K20" s="11">
        <f t="shared" si="0"/>
        <v>5.01</v>
      </c>
    </row>
    <row r="21" spans="1:11" ht="16.5" customHeight="1">
      <c r="A21" s="21">
        <v>18</v>
      </c>
      <c r="B21" s="18" t="s">
        <v>463</v>
      </c>
      <c r="C21" s="72" t="s">
        <v>300</v>
      </c>
      <c r="D21" s="14"/>
      <c r="E21" s="11" t="s">
        <v>466</v>
      </c>
      <c r="F21" s="11">
        <v>2</v>
      </c>
      <c r="G21" s="11">
        <v>1</v>
      </c>
      <c r="H21" s="11">
        <v>1</v>
      </c>
      <c r="I21" s="16">
        <v>0.01</v>
      </c>
      <c r="J21" s="16"/>
      <c r="K21" s="11">
        <f t="shared" si="0"/>
        <v>4.01</v>
      </c>
    </row>
    <row r="22" spans="1:11" ht="16.5" customHeight="1">
      <c r="A22" s="21">
        <v>19</v>
      </c>
      <c r="B22" s="50" t="s">
        <v>11</v>
      </c>
      <c r="C22" s="72" t="s">
        <v>300</v>
      </c>
      <c r="D22" s="14"/>
      <c r="E22" s="11" t="s">
        <v>466</v>
      </c>
      <c r="F22" s="11">
        <v>3</v>
      </c>
      <c r="G22" s="11">
        <v>2</v>
      </c>
      <c r="H22" s="11">
        <v>2</v>
      </c>
      <c r="I22" s="16">
        <v>0.01</v>
      </c>
      <c r="J22" s="16"/>
      <c r="K22" s="11">
        <f t="shared" si="0"/>
        <v>7.01</v>
      </c>
    </row>
    <row r="23" spans="1:11" ht="16.5" customHeight="1">
      <c r="A23" s="21">
        <v>20</v>
      </c>
      <c r="B23" s="18" t="s">
        <v>473</v>
      </c>
      <c r="C23" s="72" t="s">
        <v>300</v>
      </c>
      <c r="D23" s="14"/>
      <c r="E23" s="11" t="s">
        <v>467</v>
      </c>
      <c r="F23" s="11">
        <v>2</v>
      </c>
      <c r="G23" s="11">
        <v>1</v>
      </c>
      <c r="H23" s="11">
        <v>1</v>
      </c>
      <c r="I23" s="16">
        <v>0.01</v>
      </c>
      <c r="J23" s="16"/>
      <c r="K23" s="11">
        <f t="shared" si="0"/>
        <v>4.01</v>
      </c>
    </row>
    <row r="24" spans="1:11" ht="16.5" customHeight="1">
      <c r="A24" s="21">
        <v>21</v>
      </c>
      <c r="B24" s="18" t="s">
        <v>474</v>
      </c>
      <c r="C24" s="72" t="s">
        <v>300</v>
      </c>
      <c r="D24" s="14"/>
      <c r="E24" s="11" t="s">
        <v>467</v>
      </c>
      <c r="F24" s="11">
        <v>2</v>
      </c>
      <c r="G24" s="11">
        <v>1</v>
      </c>
      <c r="H24" s="11">
        <v>1</v>
      </c>
      <c r="I24" s="16">
        <v>0.01</v>
      </c>
      <c r="J24" s="16"/>
      <c r="K24" s="11">
        <f t="shared" si="0"/>
        <v>4.01</v>
      </c>
    </row>
    <row r="25" spans="1:11" ht="16.5" customHeight="1">
      <c r="A25" s="21">
        <v>22</v>
      </c>
      <c r="B25" s="18" t="s">
        <v>475</v>
      </c>
      <c r="C25" s="72" t="s">
        <v>300</v>
      </c>
      <c r="D25" s="14"/>
      <c r="E25" s="11" t="s">
        <v>467</v>
      </c>
      <c r="F25" s="11">
        <v>2</v>
      </c>
      <c r="G25" s="11">
        <v>2</v>
      </c>
      <c r="H25" s="11">
        <v>1</v>
      </c>
      <c r="I25" s="16">
        <v>0.01</v>
      </c>
      <c r="J25" s="16"/>
      <c r="K25" s="11">
        <f t="shared" si="0"/>
        <v>5.01</v>
      </c>
    </row>
    <row r="26" spans="1:11" ht="16.5" customHeight="1">
      <c r="A26" s="21">
        <v>23</v>
      </c>
      <c r="B26" s="18" t="s">
        <v>446</v>
      </c>
      <c r="C26" s="72" t="s">
        <v>300</v>
      </c>
      <c r="D26" s="14"/>
      <c r="E26" s="11" t="s">
        <v>467</v>
      </c>
      <c r="F26" s="11">
        <v>2</v>
      </c>
      <c r="G26" s="11">
        <v>1</v>
      </c>
      <c r="H26" s="11">
        <v>1</v>
      </c>
      <c r="I26" s="16">
        <v>0.01</v>
      </c>
      <c r="J26" s="16"/>
      <c r="K26" s="11">
        <f t="shared" si="0"/>
        <v>4.01</v>
      </c>
    </row>
    <row r="27" spans="1:11" ht="16.5" customHeight="1">
      <c r="A27" s="21">
        <v>24</v>
      </c>
      <c r="B27" s="18" t="s">
        <v>476</v>
      </c>
      <c r="C27" s="72" t="s">
        <v>300</v>
      </c>
      <c r="D27" s="14"/>
      <c r="E27" s="11" t="s">
        <v>467</v>
      </c>
      <c r="F27" s="11">
        <v>2</v>
      </c>
      <c r="G27" s="11">
        <v>2</v>
      </c>
      <c r="H27" s="11">
        <v>1</v>
      </c>
      <c r="I27" s="16">
        <v>0.01</v>
      </c>
      <c r="J27" s="16"/>
      <c r="K27" s="11">
        <f t="shared" si="0"/>
        <v>5.01</v>
      </c>
    </row>
    <row r="28" spans="1:11" ht="16.5" customHeight="1">
      <c r="A28" s="21">
        <v>25</v>
      </c>
      <c r="B28" s="18" t="s">
        <v>477</v>
      </c>
      <c r="C28" s="72" t="s">
        <v>300</v>
      </c>
      <c r="D28" s="21"/>
      <c r="E28" s="11" t="s">
        <v>467</v>
      </c>
      <c r="F28" s="11">
        <v>3</v>
      </c>
      <c r="G28" s="11">
        <v>1</v>
      </c>
      <c r="H28" s="11">
        <v>1</v>
      </c>
      <c r="I28" s="16">
        <v>0.01</v>
      </c>
      <c r="J28" s="16">
        <v>6</v>
      </c>
      <c r="K28" s="11">
        <f t="shared" si="0"/>
        <v>11.01</v>
      </c>
    </row>
    <row r="29" spans="1:11" ht="16.5" customHeight="1">
      <c r="A29" s="21">
        <v>26</v>
      </c>
      <c r="B29" s="18" t="s">
        <v>478</v>
      </c>
      <c r="C29" s="72" t="s">
        <v>300</v>
      </c>
      <c r="D29" s="22"/>
      <c r="E29" s="11" t="s">
        <v>467</v>
      </c>
      <c r="F29" s="11">
        <v>2</v>
      </c>
      <c r="G29" s="11">
        <v>1</v>
      </c>
      <c r="H29" s="11">
        <v>2</v>
      </c>
      <c r="I29" s="16">
        <v>0.01</v>
      </c>
      <c r="J29" s="16"/>
      <c r="K29" s="11">
        <f t="shared" si="0"/>
        <v>5.01</v>
      </c>
    </row>
    <row r="30" spans="1:11" ht="16.5" customHeight="1">
      <c r="A30" s="21">
        <v>27</v>
      </c>
      <c r="B30" s="18" t="s">
        <v>480</v>
      </c>
      <c r="C30" s="72" t="s">
        <v>300</v>
      </c>
      <c r="D30" s="22"/>
      <c r="E30" s="11" t="s">
        <v>467</v>
      </c>
      <c r="F30" s="11">
        <v>3</v>
      </c>
      <c r="G30" s="11">
        <v>1</v>
      </c>
      <c r="H30" s="11">
        <v>1</v>
      </c>
      <c r="I30" s="16">
        <v>0.01</v>
      </c>
      <c r="J30" s="16"/>
      <c r="K30" s="11">
        <f t="shared" si="0"/>
        <v>5.01</v>
      </c>
    </row>
    <row r="31" spans="1:11" ht="16.5" customHeight="1">
      <c r="A31" s="21">
        <v>28</v>
      </c>
      <c r="B31" s="49" t="s">
        <v>481</v>
      </c>
      <c r="C31" s="72" t="s">
        <v>300</v>
      </c>
      <c r="D31" s="121"/>
      <c r="E31" s="11" t="s">
        <v>467</v>
      </c>
      <c r="F31" s="11">
        <v>3</v>
      </c>
      <c r="G31" s="11">
        <v>1</v>
      </c>
      <c r="H31" s="11">
        <v>1</v>
      </c>
      <c r="I31" s="16">
        <v>0.01</v>
      </c>
      <c r="J31" s="16"/>
      <c r="K31" s="11">
        <f t="shared" si="0"/>
        <v>5.01</v>
      </c>
    </row>
    <row r="32" spans="1:11" ht="16.5" customHeight="1">
      <c r="A32" s="21">
        <v>29</v>
      </c>
      <c r="B32" s="18" t="s">
        <v>482</v>
      </c>
      <c r="C32" s="72" t="s">
        <v>300</v>
      </c>
      <c r="D32" s="121"/>
      <c r="E32" s="11" t="s">
        <v>468</v>
      </c>
      <c r="F32" s="11">
        <v>2</v>
      </c>
      <c r="G32" s="11">
        <v>2</v>
      </c>
      <c r="H32" s="11">
        <v>1</v>
      </c>
      <c r="I32" s="16">
        <v>0.01</v>
      </c>
      <c r="J32" s="16"/>
      <c r="K32" s="11">
        <f t="shared" si="0"/>
        <v>5.01</v>
      </c>
    </row>
    <row r="33" spans="1:11" ht="16.5" customHeight="1">
      <c r="A33" s="21">
        <v>30</v>
      </c>
      <c r="B33" s="18" t="s">
        <v>483</v>
      </c>
      <c r="C33" s="72" t="s">
        <v>300</v>
      </c>
      <c r="D33" s="121"/>
      <c r="E33" s="11" t="s">
        <v>468</v>
      </c>
      <c r="F33" s="11">
        <v>3</v>
      </c>
      <c r="G33" s="11">
        <v>1</v>
      </c>
      <c r="H33" s="11">
        <v>1</v>
      </c>
      <c r="I33" s="16">
        <v>0.01</v>
      </c>
      <c r="J33" s="16"/>
      <c r="K33" s="11">
        <f t="shared" si="0"/>
        <v>5.01</v>
      </c>
    </row>
    <row r="34" spans="1:11" ht="16.5" customHeight="1">
      <c r="A34" s="21">
        <v>31</v>
      </c>
      <c r="B34" s="18" t="s">
        <v>484</v>
      </c>
      <c r="C34" s="72" t="s">
        <v>300</v>
      </c>
      <c r="D34" s="121"/>
      <c r="E34" s="11" t="s">
        <v>468</v>
      </c>
      <c r="F34" s="11">
        <v>3</v>
      </c>
      <c r="G34" s="11">
        <v>1</v>
      </c>
      <c r="H34" s="11">
        <v>2</v>
      </c>
      <c r="I34" s="16">
        <v>0.01</v>
      </c>
      <c r="J34" s="16"/>
      <c r="K34" s="11">
        <f t="shared" si="0"/>
        <v>6.01</v>
      </c>
    </row>
    <row r="35" spans="1:11" ht="16.5" customHeight="1">
      <c r="A35" s="21">
        <v>32</v>
      </c>
      <c r="B35" s="18" t="s">
        <v>485</v>
      </c>
      <c r="C35" s="72" t="s">
        <v>300</v>
      </c>
      <c r="D35" s="15"/>
      <c r="E35" s="11" t="s">
        <v>468</v>
      </c>
      <c r="F35" s="11">
        <v>3</v>
      </c>
      <c r="G35" s="11">
        <v>2</v>
      </c>
      <c r="H35" s="11">
        <v>1</v>
      </c>
      <c r="I35" s="16">
        <v>0.01</v>
      </c>
      <c r="J35" s="16"/>
      <c r="K35" s="11">
        <f t="shared" si="0"/>
        <v>6.01</v>
      </c>
    </row>
    <row r="36" spans="1:11" ht="16.5" customHeight="1">
      <c r="A36" s="21">
        <v>33</v>
      </c>
      <c r="B36" s="18" t="s">
        <v>486</v>
      </c>
      <c r="C36" s="72" t="s">
        <v>300</v>
      </c>
      <c r="D36" s="121"/>
      <c r="E36" s="11" t="s">
        <v>468</v>
      </c>
      <c r="F36" s="11">
        <v>3</v>
      </c>
      <c r="G36" s="11">
        <v>2</v>
      </c>
      <c r="H36" s="11">
        <v>2</v>
      </c>
      <c r="I36" s="16">
        <v>0.01</v>
      </c>
      <c r="J36" s="16">
        <v>5</v>
      </c>
      <c r="K36" s="11">
        <f t="shared" si="0"/>
        <v>12.01</v>
      </c>
    </row>
    <row r="37" spans="1:11" ht="16.5" customHeight="1">
      <c r="A37" s="21">
        <v>34</v>
      </c>
      <c r="B37" s="18" t="s">
        <v>6</v>
      </c>
      <c r="C37" s="72" t="s">
        <v>300</v>
      </c>
      <c r="D37" s="121"/>
      <c r="E37" s="11" t="s">
        <v>468</v>
      </c>
      <c r="F37" s="11">
        <v>2</v>
      </c>
      <c r="G37" s="11">
        <v>1</v>
      </c>
      <c r="H37" s="11">
        <v>1</v>
      </c>
      <c r="I37" s="16">
        <v>0.01</v>
      </c>
      <c r="J37" s="16"/>
      <c r="K37" s="11">
        <f t="shared" si="0"/>
        <v>4.01</v>
      </c>
    </row>
    <row r="38" spans="1:11" ht="16.5" customHeight="1">
      <c r="A38" s="21">
        <v>35</v>
      </c>
      <c r="B38" s="18" t="s">
        <v>488</v>
      </c>
      <c r="C38" s="72" t="s">
        <v>300</v>
      </c>
      <c r="D38" s="121"/>
      <c r="E38" s="11" t="s">
        <v>468</v>
      </c>
      <c r="F38" s="11">
        <v>3</v>
      </c>
      <c r="G38" s="11">
        <v>1</v>
      </c>
      <c r="H38" s="11">
        <v>2</v>
      </c>
      <c r="I38" s="16">
        <v>0.01</v>
      </c>
      <c r="J38" s="16"/>
      <c r="K38" s="11">
        <f t="shared" si="0"/>
        <v>6.01</v>
      </c>
    </row>
    <row r="39" spans="1:11" ht="16.5" customHeight="1">
      <c r="A39" s="21">
        <v>36</v>
      </c>
      <c r="B39" s="18" t="s">
        <v>489</v>
      </c>
      <c r="C39" s="72" t="s">
        <v>300</v>
      </c>
      <c r="D39" s="121"/>
      <c r="E39" s="11" t="s">
        <v>468</v>
      </c>
      <c r="F39" s="11">
        <v>2</v>
      </c>
      <c r="G39" s="11">
        <v>3</v>
      </c>
      <c r="H39" s="11">
        <v>1</v>
      </c>
      <c r="I39" s="16">
        <v>0.01</v>
      </c>
      <c r="J39" s="16"/>
      <c r="K39" s="11">
        <f t="shared" si="0"/>
        <v>6.01</v>
      </c>
    </row>
    <row r="40" spans="1:11" ht="16.5" customHeight="1">
      <c r="A40" s="21">
        <v>37</v>
      </c>
      <c r="B40" s="18" t="s">
        <v>490</v>
      </c>
      <c r="C40" s="72" t="s">
        <v>300</v>
      </c>
      <c r="D40" s="121"/>
      <c r="E40" s="11" t="s">
        <v>468</v>
      </c>
      <c r="F40" s="11">
        <v>2</v>
      </c>
      <c r="G40" s="11">
        <v>1</v>
      </c>
      <c r="H40" s="11">
        <v>2</v>
      </c>
      <c r="I40" s="16">
        <v>0.01</v>
      </c>
      <c r="J40" s="16">
        <v>5</v>
      </c>
      <c r="K40" s="11">
        <f t="shared" si="0"/>
        <v>10.01</v>
      </c>
    </row>
    <row r="41" spans="1:11" ht="16.5" customHeight="1">
      <c r="A41" s="21">
        <v>38</v>
      </c>
      <c r="B41" s="18" t="s">
        <v>492</v>
      </c>
      <c r="C41" s="72" t="s">
        <v>300</v>
      </c>
      <c r="D41" s="121"/>
      <c r="E41" s="11" t="s">
        <v>468</v>
      </c>
      <c r="F41" s="11">
        <v>2</v>
      </c>
      <c r="G41" s="11">
        <v>1</v>
      </c>
      <c r="H41" s="11">
        <v>2</v>
      </c>
      <c r="I41" s="16">
        <v>0.01</v>
      </c>
      <c r="J41" s="16"/>
      <c r="K41" s="11">
        <f t="shared" si="0"/>
        <v>5.01</v>
      </c>
    </row>
    <row r="42" spans="1:11" ht="16.5" customHeight="1">
      <c r="A42" s="21">
        <v>39</v>
      </c>
      <c r="B42" s="18" t="s">
        <v>640</v>
      </c>
      <c r="C42" s="72" t="s">
        <v>300</v>
      </c>
      <c r="D42" s="121"/>
      <c r="E42" s="76" t="s">
        <v>49</v>
      </c>
      <c r="F42" s="76">
        <v>3</v>
      </c>
      <c r="G42" s="76">
        <v>1</v>
      </c>
      <c r="H42" s="76">
        <v>2</v>
      </c>
      <c r="I42" s="16">
        <v>0.01</v>
      </c>
      <c r="J42" s="16"/>
      <c r="K42" s="76">
        <f t="shared" ref="K42" si="3">SUM(F42:J42)</f>
        <v>6.01</v>
      </c>
    </row>
    <row r="43" spans="1:11" ht="16.5" customHeight="1">
      <c r="A43" s="21">
        <v>40</v>
      </c>
      <c r="B43" s="18" t="s">
        <v>363</v>
      </c>
      <c r="C43" s="72" t="s">
        <v>300</v>
      </c>
      <c r="D43" s="121"/>
      <c r="E43" s="80" t="s">
        <v>49</v>
      </c>
      <c r="F43" s="80">
        <v>2</v>
      </c>
      <c r="G43" s="80">
        <v>1</v>
      </c>
      <c r="H43" s="80">
        <v>2</v>
      </c>
      <c r="I43" s="16">
        <v>0.01</v>
      </c>
      <c r="J43" s="16"/>
      <c r="K43" s="80">
        <f t="shared" ref="K43" si="4">SUM(F43:J43)</f>
        <v>5.01</v>
      </c>
    </row>
    <row r="44" spans="1:11" ht="16.5" customHeight="1">
      <c r="A44" s="21">
        <v>41</v>
      </c>
      <c r="B44" s="19" t="s">
        <v>459</v>
      </c>
      <c r="C44" s="14" t="s">
        <v>309</v>
      </c>
      <c r="D44" s="33"/>
      <c r="E44" s="11" t="s">
        <v>466</v>
      </c>
      <c r="F44" s="11">
        <v>0.5</v>
      </c>
      <c r="G44" s="11">
        <v>0.5</v>
      </c>
      <c r="H44" s="11">
        <v>0.5</v>
      </c>
      <c r="I44" s="16">
        <v>0.01</v>
      </c>
      <c r="J44" s="16"/>
      <c r="K44" s="11">
        <f t="shared" si="0"/>
        <v>1.51</v>
      </c>
    </row>
    <row r="45" spans="1:11" ht="16.5" customHeight="1">
      <c r="A45" s="21">
        <v>42</v>
      </c>
      <c r="B45" s="55" t="s">
        <v>462</v>
      </c>
      <c r="C45" s="14" t="s">
        <v>309</v>
      </c>
      <c r="D45" s="14"/>
      <c r="E45" s="11" t="s">
        <v>466</v>
      </c>
      <c r="F45" s="11">
        <v>1</v>
      </c>
      <c r="G45" s="11">
        <v>0.5</v>
      </c>
      <c r="H45" s="11">
        <v>0.5</v>
      </c>
      <c r="I45" s="16">
        <v>0.01</v>
      </c>
      <c r="J45" s="16"/>
      <c r="K45" s="11">
        <f t="shared" si="0"/>
        <v>2.0099999999999998</v>
      </c>
    </row>
    <row r="46" spans="1:11" ht="16.5" customHeight="1">
      <c r="A46" s="21">
        <v>43</v>
      </c>
      <c r="B46" s="6" t="s">
        <v>479</v>
      </c>
      <c r="C46" s="14" t="s">
        <v>309</v>
      </c>
      <c r="D46" s="22"/>
      <c r="E46" s="11" t="s">
        <v>467</v>
      </c>
      <c r="F46" s="11">
        <v>1</v>
      </c>
      <c r="G46" s="11">
        <v>0.5</v>
      </c>
      <c r="H46" s="11">
        <v>0.5</v>
      </c>
      <c r="I46" s="16">
        <v>0.01</v>
      </c>
      <c r="J46" s="16"/>
      <c r="K46" s="11">
        <f t="shared" si="0"/>
        <v>2.0099999999999998</v>
      </c>
    </row>
    <row r="47" spans="1:11" ht="16.5" customHeight="1">
      <c r="A47" s="21">
        <v>44</v>
      </c>
      <c r="B47" s="6" t="s">
        <v>487</v>
      </c>
      <c r="C47" s="14" t="s">
        <v>309</v>
      </c>
      <c r="D47" s="121"/>
      <c r="E47" s="11" t="s">
        <v>468</v>
      </c>
      <c r="F47" s="11">
        <v>1</v>
      </c>
      <c r="G47" s="11">
        <v>0.5</v>
      </c>
      <c r="H47" s="11">
        <v>0.5</v>
      </c>
      <c r="I47" s="16">
        <v>0.01</v>
      </c>
      <c r="J47" s="16"/>
      <c r="K47" s="11">
        <f t="shared" si="0"/>
        <v>2.0099999999999998</v>
      </c>
    </row>
    <row r="48" spans="1:11" ht="16.5" customHeight="1">
      <c r="A48" s="21">
        <v>45</v>
      </c>
      <c r="B48" s="18" t="s">
        <v>464</v>
      </c>
      <c r="C48" s="72" t="s">
        <v>407</v>
      </c>
      <c r="D48" s="121"/>
      <c r="E48" s="11" t="s">
        <v>466</v>
      </c>
      <c r="F48" s="11">
        <v>1</v>
      </c>
      <c r="G48" s="11">
        <v>1</v>
      </c>
      <c r="H48" s="37"/>
      <c r="I48" s="16">
        <v>0.01</v>
      </c>
      <c r="J48" s="16"/>
      <c r="K48" s="11">
        <f t="shared" si="0"/>
        <v>2.0099999999999998</v>
      </c>
    </row>
    <row r="49" spans="1:11" ht="16.5" customHeight="1">
      <c r="A49" s="21">
        <v>46</v>
      </c>
      <c r="B49" s="50" t="s">
        <v>465</v>
      </c>
      <c r="C49" s="72" t="s">
        <v>407</v>
      </c>
      <c r="D49" s="121"/>
      <c r="E49" s="11" t="s">
        <v>466</v>
      </c>
      <c r="F49" s="11">
        <v>0.5</v>
      </c>
      <c r="G49" s="11">
        <v>2</v>
      </c>
      <c r="H49" s="37"/>
      <c r="I49" s="16">
        <v>0.01</v>
      </c>
      <c r="J49" s="16"/>
      <c r="K49" s="11">
        <f t="shared" si="0"/>
        <v>2.5099999999999998</v>
      </c>
    </row>
    <row r="50" spans="1:11" ht="16.5" customHeight="1">
      <c r="A50" s="21">
        <v>47</v>
      </c>
      <c r="B50" s="18" t="s">
        <v>464</v>
      </c>
      <c r="C50" s="72" t="s">
        <v>407</v>
      </c>
      <c r="D50" s="121"/>
      <c r="E50" s="11" t="s">
        <v>467</v>
      </c>
      <c r="F50" s="11">
        <v>2</v>
      </c>
      <c r="G50" s="11">
        <v>1</v>
      </c>
      <c r="H50" s="37"/>
      <c r="I50" s="16">
        <v>0.01</v>
      </c>
      <c r="J50" s="16"/>
      <c r="K50" s="11">
        <f t="shared" si="0"/>
        <v>3.01</v>
      </c>
    </row>
    <row r="51" spans="1:11" ht="16.5" customHeight="1">
      <c r="A51" s="21">
        <v>48</v>
      </c>
      <c r="B51" s="18" t="s">
        <v>491</v>
      </c>
      <c r="C51" s="72" t="s">
        <v>407</v>
      </c>
      <c r="D51" s="15"/>
      <c r="E51" s="11" t="s">
        <v>468</v>
      </c>
      <c r="F51" s="11">
        <v>1</v>
      </c>
      <c r="G51" s="11">
        <v>1</v>
      </c>
      <c r="H51" s="37"/>
      <c r="I51" s="16">
        <v>0.01</v>
      </c>
      <c r="J51" s="16"/>
      <c r="K51" s="11">
        <f t="shared" si="0"/>
        <v>2.0099999999999998</v>
      </c>
    </row>
    <row r="52" spans="1:11" ht="16.5" customHeight="1">
      <c r="A52" s="21">
        <v>49</v>
      </c>
      <c r="B52" s="108" t="s">
        <v>683</v>
      </c>
      <c r="C52" s="72" t="s">
        <v>300</v>
      </c>
      <c r="D52" s="15"/>
      <c r="E52" s="91" t="s">
        <v>466</v>
      </c>
      <c r="F52" s="121">
        <v>3</v>
      </c>
      <c r="G52" s="121">
        <v>1</v>
      </c>
      <c r="H52" s="121">
        <v>1</v>
      </c>
      <c r="I52" s="16">
        <v>0.01</v>
      </c>
      <c r="J52" s="16"/>
      <c r="K52" s="121">
        <f t="shared" ref="K52:K74" si="5">SUM(F52:J52)</f>
        <v>5.01</v>
      </c>
    </row>
    <row r="53" spans="1:11" ht="16.5" customHeight="1">
      <c r="A53" s="21">
        <v>50</v>
      </c>
      <c r="B53" s="108" t="s">
        <v>684</v>
      </c>
      <c r="C53" s="35" t="s">
        <v>300</v>
      </c>
      <c r="D53" s="121"/>
      <c r="E53" s="91" t="s">
        <v>466</v>
      </c>
      <c r="F53" s="121">
        <v>3</v>
      </c>
      <c r="G53" s="121">
        <v>1</v>
      </c>
      <c r="H53" s="121">
        <v>2</v>
      </c>
      <c r="I53" s="16">
        <v>0.01</v>
      </c>
      <c r="J53" s="16"/>
      <c r="K53" s="121">
        <f t="shared" si="5"/>
        <v>6.01</v>
      </c>
    </row>
    <row r="54" spans="1:11" ht="16.5" customHeight="1">
      <c r="A54" s="21">
        <v>51</v>
      </c>
      <c r="B54" s="108" t="s">
        <v>685</v>
      </c>
      <c r="C54" s="15" t="s">
        <v>300</v>
      </c>
      <c r="D54" s="121"/>
      <c r="E54" s="91" t="s">
        <v>466</v>
      </c>
      <c r="F54" s="121">
        <v>3</v>
      </c>
      <c r="G54" s="121">
        <v>2</v>
      </c>
      <c r="H54" s="121">
        <v>1</v>
      </c>
      <c r="I54" s="16">
        <v>0.01</v>
      </c>
      <c r="J54" s="16"/>
      <c r="K54" s="121">
        <f t="shared" si="5"/>
        <v>6.01</v>
      </c>
    </row>
    <row r="55" spans="1:11" ht="16.5" customHeight="1">
      <c r="A55" s="21">
        <v>52</v>
      </c>
      <c r="B55" s="108" t="s">
        <v>686</v>
      </c>
      <c r="C55" s="91" t="s">
        <v>300</v>
      </c>
      <c r="D55" s="5"/>
      <c r="E55" s="91" t="s">
        <v>466</v>
      </c>
      <c r="F55" s="121">
        <v>3</v>
      </c>
      <c r="G55" s="121">
        <v>2</v>
      </c>
      <c r="H55" s="121">
        <v>2</v>
      </c>
      <c r="I55" s="16">
        <v>0.01</v>
      </c>
      <c r="J55" s="16">
        <v>5</v>
      </c>
      <c r="K55" s="121">
        <f t="shared" si="5"/>
        <v>12.01</v>
      </c>
    </row>
    <row r="56" spans="1:11" ht="16.5" customHeight="1">
      <c r="A56" s="21">
        <v>53</v>
      </c>
      <c r="B56" s="108" t="s">
        <v>687</v>
      </c>
      <c r="C56" s="91" t="s">
        <v>300</v>
      </c>
      <c r="D56" s="5"/>
      <c r="E56" s="91" t="s">
        <v>466</v>
      </c>
      <c r="F56" s="121">
        <v>2</v>
      </c>
      <c r="G56" s="121">
        <v>1</v>
      </c>
      <c r="H56" s="121">
        <v>1</v>
      </c>
      <c r="I56" s="16">
        <v>0.01</v>
      </c>
      <c r="J56" s="16"/>
      <c r="K56" s="121">
        <f t="shared" si="5"/>
        <v>4.01</v>
      </c>
    </row>
    <row r="57" spans="1:11" ht="16.5" customHeight="1">
      <c r="A57" s="21">
        <v>54</v>
      </c>
      <c r="B57" s="108" t="s">
        <v>688</v>
      </c>
      <c r="C57" s="91" t="s">
        <v>300</v>
      </c>
      <c r="D57" s="5"/>
      <c r="E57" s="91" t="s">
        <v>466</v>
      </c>
      <c r="F57" s="121">
        <v>3</v>
      </c>
      <c r="G57" s="121">
        <v>1</v>
      </c>
      <c r="H57" s="121">
        <v>2</v>
      </c>
      <c r="I57" s="16">
        <v>0.01</v>
      </c>
      <c r="J57" s="16"/>
      <c r="K57" s="121">
        <f t="shared" si="5"/>
        <v>6.01</v>
      </c>
    </row>
    <row r="58" spans="1:11" ht="16.5" customHeight="1">
      <c r="A58" s="21">
        <v>55</v>
      </c>
      <c r="B58" s="108" t="s">
        <v>689</v>
      </c>
      <c r="C58" s="91" t="s">
        <v>300</v>
      </c>
      <c r="D58" s="5"/>
      <c r="E58" s="91" t="s">
        <v>466</v>
      </c>
      <c r="F58" s="121">
        <v>2</v>
      </c>
      <c r="G58" s="121">
        <v>3</v>
      </c>
      <c r="H58" s="121">
        <v>1</v>
      </c>
      <c r="I58" s="16">
        <v>0.01</v>
      </c>
      <c r="J58" s="16"/>
      <c r="K58" s="121">
        <f t="shared" si="5"/>
        <v>6.01</v>
      </c>
    </row>
    <row r="59" spans="1:11" ht="16.5" customHeight="1">
      <c r="A59" s="21">
        <v>56</v>
      </c>
      <c r="B59" s="108" t="s">
        <v>690</v>
      </c>
      <c r="C59" s="91" t="s">
        <v>300</v>
      </c>
      <c r="D59" s="5"/>
      <c r="E59" s="91" t="s">
        <v>466</v>
      </c>
      <c r="F59" s="121">
        <v>2</v>
      </c>
      <c r="G59" s="121">
        <v>1</v>
      </c>
      <c r="H59" s="121">
        <v>2</v>
      </c>
      <c r="I59" s="16">
        <v>0.01</v>
      </c>
      <c r="J59" s="16">
        <v>5</v>
      </c>
      <c r="K59" s="121">
        <f t="shared" si="5"/>
        <v>10.01</v>
      </c>
    </row>
    <row r="60" spans="1:11" ht="16.5" customHeight="1">
      <c r="A60" s="21">
        <v>57</v>
      </c>
      <c r="B60" s="108" t="s">
        <v>691</v>
      </c>
      <c r="C60" s="14" t="s">
        <v>309</v>
      </c>
      <c r="D60" s="5"/>
      <c r="E60" s="91" t="s">
        <v>466</v>
      </c>
      <c r="F60" s="121">
        <v>2</v>
      </c>
      <c r="G60" s="121">
        <v>1</v>
      </c>
      <c r="H60" s="121">
        <v>2</v>
      </c>
      <c r="I60" s="16">
        <v>0.01</v>
      </c>
      <c r="J60" s="16"/>
      <c r="K60" s="121">
        <f t="shared" si="5"/>
        <v>5.01</v>
      </c>
    </row>
    <row r="61" spans="1:11" ht="16.5" customHeight="1">
      <c r="A61" s="21">
        <v>58</v>
      </c>
      <c r="B61" s="108" t="s">
        <v>692</v>
      </c>
      <c r="C61" s="91" t="s">
        <v>300</v>
      </c>
      <c r="D61" s="5"/>
      <c r="E61" s="91" t="s">
        <v>466</v>
      </c>
      <c r="F61" s="121">
        <v>3</v>
      </c>
      <c r="G61" s="121">
        <v>1</v>
      </c>
      <c r="H61" s="121">
        <v>2</v>
      </c>
      <c r="I61" s="16">
        <v>0.01</v>
      </c>
      <c r="J61" s="16"/>
      <c r="K61" s="121">
        <f t="shared" si="5"/>
        <v>6.01</v>
      </c>
    </row>
    <row r="62" spans="1:11" ht="16.5" customHeight="1">
      <c r="A62" s="21">
        <v>59</v>
      </c>
      <c r="B62" s="108" t="s">
        <v>693</v>
      </c>
      <c r="C62" s="91" t="s">
        <v>300</v>
      </c>
      <c r="D62" s="5"/>
      <c r="E62" s="91" t="s">
        <v>466</v>
      </c>
      <c r="F62" s="121">
        <v>2</v>
      </c>
      <c r="G62" s="121">
        <v>1</v>
      </c>
      <c r="H62" s="121">
        <v>2</v>
      </c>
      <c r="I62" s="16">
        <v>0.01</v>
      </c>
      <c r="J62" s="16"/>
      <c r="K62" s="121">
        <f t="shared" si="5"/>
        <v>5.01</v>
      </c>
    </row>
    <row r="63" spans="1:11" ht="16.5" customHeight="1">
      <c r="A63" s="21">
        <v>60</v>
      </c>
      <c r="B63" s="112" t="s">
        <v>694</v>
      </c>
      <c r="C63" s="91" t="s">
        <v>300</v>
      </c>
      <c r="D63" s="5"/>
      <c r="E63" s="91" t="s">
        <v>466</v>
      </c>
      <c r="F63" s="121">
        <v>3</v>
      </c>
      <c r="G63" s="121">
        <v>1</v>
      </c>
      <c r="H63" s="121">
        <v>1</v>
      </c>
      <c r="I63" s="16">
        <v>0.01</v>
      </c>
      <c r="J63" s="16"/>
      <c r="K63" s="121">
        <f t="shared" si="5"/>
        <v>5.01</v>
      </c>
    </row>
    <row r="64" spans="1:11" ht="16.5" customHeight="1">
      <c r="A64" s="21">
        <v>61</v>
      </c>
      <c r="B64" s="108" t="s">
        <v>695</v>
      </c>
      <c r="C64" s="5" t="s">
        <v>407</v>
      </c>
      <c r="D64" s="5"/>
      <c r="E64" s="91" t="s">
        <v>49</v>
      </c>
      <c r="F64" s="121">
        <v>3</v>
      </c>
      <c r="G64" s="121">
        <v>1</v>
      </c>
      <c r="H64" s="121">
        <v>2</v>
      </c>
      <c r="I64" s="16">
        <v>0.01</v>
      </c>
      <c r="J64" s="16"/>
      <c r="K64" s="121">
        <f t="shared" si="5"/>
        <v>6.01</v>
      </c>
    </row>
    <row r="65" spans="1:11" ht="16.5" customHeight="1">
      <c r="A65" s="21">
        <v>62</v>
      </c>
      <c r="B65" s="108" t="s">
        <v>696</v>
      </c>
      <c r="C65" s="5" t="s">
        <v>309</v>
      </c>
      <c r="D65" s="5"/>
      <c r="E65" s="91" t="s">
        <v>49</v>
      </c>
      <c r="F65" s="121">
        <v>3</v>
      </c>
      <c r="G65" s="121">
        <v>2</v>
      </c>
      <c r="H65" s="121">
        <v>1</v>
      </c>
      <c r="I65" s="16">
        <v>0.01</v>
      </c>
      <c r="J65" s="16"/>
      <c r="K65" s="121">
        <f t="shared" si="5"/>
        <v>6.01</v>
      </c>
    </row>
    <row r="66" spans="1:11" ht="16.5" customHeight="1">
      <c r="A66" s="21">
        <v>63</v>
      </c>
      <c r="B66" s="108" t="s">
        <v>697</v>
      </c>
      <c r="C66" s="91" t="s">
        <v>300</v>
      </c>
      <c r="D66" s="5"/>
      <c r="E66" s="91" t="s">
        <v>49</v>
      </c>
      <c r="F66" s="121">
        <v>3</v>
      </c>
      <c r="G66" s="121">
        <v>2</v>
      </c>
      <c r="H66" s="121">
        <v>2</v>
      </c>
      <c r="I66" s="16">
        <v>0.01</v>
      </c>
      <c r="J66" s="16">
        <v>5</v>
      </c>
      <c r="K66" s="121">
        <f t="shared" si="5"/>
        <v>12.01</v>
      </c>
    </row>
    <row r="67" spans="1:11" ht="16.5" customHeight="1">
      <c r="A67" s="21">
        <v>64</v>
      </c>
      <c r="B67" s="108" t="s">
        <v>698</v>
      </c>
      <c r="C67" s="91" t="s">
        <v>407</v>
      </c>
      <c r="D67" s="5"/>
      <c r="E67" s="91" t="s">
        <v>49</v>
      </c>
      <c r="F67" s="121">
        <v>2</v>
      </c>
      <c r="G67" s="121">
        <v>1</v>
      </c>
      <c r="H67" s="121">
        <v>1</v>
      </c>
      <c r="I67" s="16">
        <v>0.01</v>
      </c>
      <c r="J67" s="16"/>
      <c r="K67" s="121">
        <f t="shared" si="5"/>
        <v>4.01</v>
      </c>
    </row>
    <row r="68" spans="1:11" ht="16.5" customHeight="1">
      <c r="A68" s="21">
        <v>65</v>
      </c>
      <c r="B68" s="108" t="s">
        <v>699</v>
      </c>
      <c r="C68" s="91" t="s">
        <v>300</v>
      </c>
      <c r="D68" s="5"/>
      <c r="E68" s="91" t="s">
        <v>49</v>
      </c>
      <c r="F68" s="121">
        <v>3</v>
      </c>
      <c r="G68" s="121">
        <v>1</v>
      </c>
      <c r="H68" s="121">
        <v>2</v>
      </c>
      <c r="I68" s="16">
        <v>0.01</v>
      </c>
      <c r="J68" s="16"/>
      <c r="K68" s="121">
        <f t="shared" si="5"/>
        <v>6.01</v>
      </c>
    </row>
    <row r="69" spans="1:11" ht="16.5" customHeight="1">
      <c r="A69" s="21">
        <v>66</v>
      </c>
      <c r="B69" s="108" t="s">
        <v>700</v>
      </c>
      <c r="C69" s="91" t="s">
        <v>300</v>
      </c>
      <c r="D69" s="5"/>
      <c r="E69" s="91" t="s">
        <v>49</v>
      </c>
      <c r="F69" s="121">
        <v>2</v>
      </c>
      <c r="G69" s="121">
        <v>3</v>
      </c>
      <c r="H69" s="121">
        <v>1</v>
      </c>
      <c r="I69" s="16">
        <v>0.01</v>
      </c>
      <c r="J69" s="16"/>
      <c r="K69" s="121">
        <f t="shared" si="5"/>
        <v>6.01</v>
      </c>
    </row>
    <row r="70" spans="1:11" ht="16.5" customHeight="1">
      <c r="A70" s="21">
        <v>67</v>
      </c>
      <c r="B70" s="114" t="s">
        <v>358</v>
      </c>
      <c r="C70" s="115" t="s">
        <v>300</v>
      </c>
      <c r="D70" s="113"/>
      <c r="E70" s="91" t="s">
        <v>49</v>
      </c>
      <c r="F70" s="121">
        <v>2</v>
      </c>
      <c r="G70" s="121">
        <v>1</v>
      </c>
      <c r="H70" s="121">
        <v>2</v>
      </c>
      <c r="I70" s="16">
        <v>0.01</v>
      </c>
      <c r="J70" s="16">
        <v>5</v>
      </c>
      <c r="K70" s="121">
        <f t="shared" si="5"/>
        <v>10.01</v>
      </c>
    </row>
    <row r="71" spans="1:11" ht="16.5" customHeight="1">
      <c r="A71" s="21">
        <v>68</v>
      </c>
      <c r="B71" s="166" t="s">
        <v>790</v>
      </c>
      <c r="C71" s="115" t="s">
        <v>300</v>
      </c>
      <c r="D71" s="113"/>
      <c r="E71" s="162" t="s">
        <v>49</v>
      </c>
      <c r="F71" s="162">
        <v>2</v>
      </c>
      <c r="G71" s="162">
        <v>3</v>
      </c>
      <c r="H71" s="162">
        <v>1</v>
      </c>
      <c r="I71" s="16">
        <v>0.01</v>
      </c>
      <c r="J71" s="16"/>
      <c r="K71" s="162">
        <f t="shared" ref="K71" si="6">SUM(F71:J71)</f>
        <v>6.01</v>
      </c>
    </row>
    <row r="72" spans="1:11" ht="16.5" customHeight="1">
      <c r="A72" s="21">
        <v>69</v>
      </c>
      <c r="B72" s="112" t="s">
        <v>701</v>
      </c>
      <c r="C72" s="91" t="s">
        <v>300</v>
      </c>
      <c r="D72" s="5"/>
      <c r="E72" s="91" t="s">
        <v>49</v>
      </c>
      <c r="F72" s="121">
        <v>2</v>
      </c>
      <c r="G72" s="121">
        <v>1</v>
      </c>
      <c r="H72" s="121">
        <v>2</v>
      </c>
      <c r="I72" s="16">
        <v>0.01</v>
      </c>
      <c r="J72" s="16"/>
      <c r="K72" s="121">
        <f t="shared" si="5"/>
        <v>5.01</v>
      </c>
    </row>
    <row r="73" spans="1:11" ht="16.5" customHeight="1">
      <c r="A73" s="21">
        <v>70</v>
      </c>
      <c r="B73" s="112" t="s">
        <v>702</v>
      </c>
      <c r="C73" s="91" t="s">
        <v>300</v>
      </c>
      <c r="D73" s="5"/>
      <c r="E73" s="91" t="s">
        <v>49</v>
      </c>
      <c r="F73" s="121">
        <v>3</v>
      </c>
      <c r="G73" s="121">
        <v>1</v>
      </c>
      <c r="H73" s="121">
        <v>2</v>
      </c>
      <c r="I73" s="16">
        <v>0.01</v>
      </c>
      <c r="J73" s="16"/>
      <c r="K73" s="121">
        <f t="shared" si="5"/>
        <v>6.01</v>
      </c>
    </row>
    <row r="74" spans="1:11" ht="16.5" customHeight="1">
      <c r="A74" s="21">
        <v>71</v>
      </c>
      <c r="B74" s="112" t="s">
        <v>703</v>
      </c>
      <c r="C74" s="91" t="s">
        <v>300</v>
      </c>
      <c r="D74" s="5"/>
      <c r="E74" s="91" t="s">
        <v>49</v>
      </c>
      <c r="F74" s="121">
        <v>2</v>
      </c>
      <c r="G74" s="121">
        <v>1</v>
      </c>
      <c r="H74" s="121">
        <v>2</v>
      </c>
      <c r="I74" s="16">
        <v>0.01</v>
      </c>
      <c r="J74" s="16"/>
      <c r="K74" s="121">
        <f t="shared" si="5"/>
        <v>5.01</v>
      </c>
    </row>
    <row r="75" spans="1:11" ht="16.5" customHeight="1">
      <c r="A75" s="21">
        <v>72</v>
      </c>
      <c r="B75" s="112" t="s">
        <v>704</v>
      </c>
      <c r="C75" s="91" t="s">
        <v>300</v>
      </c>
      <c r="D75" s="5"/>
      <c r="E75" s="91" t="s">
        <v>49</v>
      </c>
      <c r="F75" s="121">
        <v>2</v>
      </c>
      <c r="G75" s="121">
        <v>3</v>
      </c>
      <c r="H75" s="121">
        <v>1</v>
      </c>
      <c r="I75" s="16">
        <v>0.01</v>
      </c>
      <c r="J75" s="16"/>
      <c r="K75" s="121">
        <f t="shared" ref="K75:K79" si="7">SUM(F75:J75)</f>
        <v>6.01</v>
      </c>
    </row>
    <row r="76" spans="1:11" ht="16.5" customHeight="1">
      <c r="A76" s="21">
        <v>73</v>
      </c>
      <c r="B76" s="117" t="s">
        <v>473</v>
      </c>
      <c r="C76" s="91" t="s">
        <v>300</v>
      </c>
      <c r="D76" s="5"/>
      <c r="E76" s="91" t="s">
        <v>468</v>
      </c>
      <c r="F76" s="121">
        <v>2</v>
      </c>
      <c r="G76" s="121">
        <v>1</v>
      </c>
      <c r="H76" s="121">
        <v>2</v>
      </c>
      <c r="I76" s="16">
        <v>0.01</v>
      </c>
      <c r="J76" s="16">
        <v>5</v>
      </c>
      <c r="K76" s="121">
        <f t="shared" si="7"/>
        <v>10.01</v>
      </c>
    </row>
    <row r="77" spans="1:11" ht="16.5" customHeight="1">
      <c r="A77" s="21">
        <v>74</v>
      </c>
      <c r="B77" s="117" t="s">
        <v>705</v>
      </c>
      <c r="C77" s="91" t="s">
        <v>407</v>
      </c>
      <c r="D77" s="5"/>
      <c r="E77" s="91" t="s">
        <v>468</v>
      </c>
      <c r="F77" s="121">
        <v>2</v>
      </c>
      <c r="G77" s="121">
        <v>1</v>
      </c>
      <c r="H77" s="121">
        <v>2</v>
      </c>
      <c r="I77" s="16">
        <v>0.01</v>
      </c>
      <c r="J77" s="16"/>
      <c r="K77" s="121">
        <f t="shared" si="7"/>
        <v>5.01</v>
      </c>
    </row>
    <row r="78" spans="1:11" ht="16.5" customHeight="1">
      <c r="A78" s="21">
        <v>75</v>
      </c>
      <c r="B78" s="118" t="s">
        <v>706</v>
      </c>
      <c r="C78" s="115" t="s">
        <v>300</v>
      </c>
      <c r="D78" s="113"/>
      <c r="E78" s="115" t="s">
        <v>468</v>
      </c>
      <c r="F78" s="121">
        <v>3</v>
      </c>
      <c r="G78" s="121">
        <v>1</v>
      </c>
      <c r="H78" s="121">
        <v>2</v>
      </c>
      <c r="I78" s="16">
        <v>0.01</v>
      </c>
      <c r="J78" s="16"/>
      <c r="K78" s="121">
        <f t="shared" si="7"/>
        <v>6.01</v>
      </c>
    </row>
    <row r="79" spans="1:11" ht="16.5" customHeight="1">
      <c r="A79" s="21">
        <v>76</v>
      </c>
      <c r="B79" s="108" t="s">
        <v>707</v>
      </c>
      <c r="C79" s="91" t="s">
        <v>407</v>
      </c>
      <c r="D79" s="5"/>
      <c r="E79" s="91" t="s">
        <v>467</v>
      </c>
      <c r="F79" s="121">
        <v>2</v>
      </c>
      <c r="G79" s="121">
        <v>1</v>
      </c>
      <c r="H79" s="121">
        <v>2</v>
      </c>
      <c r="I79" s="16">
        <v>0.01</v>
      </c>
      <c r="J79" s="16"/>
      <c r="K79" s="121">
        <f t="shared" si="7"/>
        <v>5.01</v>
      </c>
    </row>
    <row r="80" spans="1:11" ht="16.5" customHeight="1">
      <c r="A80" s="21">
        <v>77</v>
      </c>
      <c r="B80" s="108" t="s">
        <v>708</v>
      </c>
      <c r="C80" s="91" t="s">
        <v>300</v>
      </c>
      <c r="D80" s="5"/>
      <c r="E80" s="91" t="s">
        <v>467</v>
      </c>
      <c r="F80" s="121">
        <v>2</v>
      </c>
      <c r="G80" s="121">
        <v>1</v>
      </c>
      <c r="H80" s="121">
        <v>2</v>
      </c>
      <c r="I80" s="16">
        <v>0.01</v>
      </c>
      <c r="J80" s="16"/>
      <c r="K80" s="121">
        <f t="shared" ref="K80:K82" si="8">SUM(F80:J80)</f>
        <v>5.01</v>
      </c>
    </row>
    <row r="81" spans="1:16383" ht="16.5" customHeight="1">
      <c r="A81" s="21">
        <v>78</v>
      </c>
      <c r="B81" s="119" t="s">
        <v>655</v>
      </c>
      <c r="C81" s="115" t="s">
        <v>300</v>
      </c>
      <c r="D81" s="113"/>
      <c r="E81" s="91" t="s">
        <v>467</v>
      </c>
      <c r="F81" s="121">
        <v>3</v>
      </c>
      <c r="G81" s="121">
        <v>1</v>
      </c>
      <c r="H81" s="121">
        <v>2</v>
      </c>
      <c r="I81" s="16">
        <v>0.01</v>
      </c>
      <c r="J81" s="16"/>
      <c r="K81" s="121">
        <f t="shared" si="8"/>
        <v>6.01</v>
      </c>
    </row>
    <row r="82" spans="1:16383" ht="16.5" customHeight="1">
      <c r="A82" s="21">
        <v>79</v>
      </c>
      <c r="B82" s="112" t="s">
        <v>709</v>
      </c>
      <c r="C82" s="91" t="s">
        <v>407</v>
      </c>
      <c r="D82" s="5"/>
      <c r="E82" s="91" t="s">
        <v>467</v>
      </c>
      <c r="F82" s="121">
        <v>2</v>
      </c>
      <c r="G82" s="121">
        <v>1</v>
      </c>
      <c r="H82" s="121">
        <v>2</v>
      </c>
      <c r="I82" s="16">
        <v>0.01</v>
      </c>
      <c r="J82" s="16"/>
      <c r="K82" s="121">
        <f t="shared" si="8"/>
        <v>5.01</v>
      </c>
    </row>
    <row r="83" spans="1:16383" ht="16.5" customHeight="1">
      <c r="A83" s="21">
        <v>80</v>
      </c>
      <c r="B83" s="112" t="s">
        <v>710</v>
      </c>
      <c r="C83" s="91" t="s">
        <v>228</v>
      </c>
      <c r="D83" s="5">
        <v>5</v>
      </c>
      <c r="E83" s="91" t="s">
        <v>467</v>
      </c>
      <c r="F83" s="121">
        <v>7</v>
      </c>
      <c r="G83" s="121">
        <v>3</v>
      </c>
      <c r="H83" s="121">
        <v>3</v>
      </c>
      <c r="I83" s="16">
        <v>0.1</v>
      </c>
      <c r="J83" s="16">
        <v>6</v>
      </c>
      <c r="K83" s="121">
        <f t="shared" ref="K83:K84" si="9">SUM(F83:J83)</f>
        <v>19.100000000000001</v>
      </c>
    </row>
    <row r="84" spans="1:16383" ht="16.5" customHeight="1">
      <c r="A84" s="21">
        <v>81</v>
      </c>
      <c r="B84" s="112" t="s">
        <v>711</v>
      </c>
      <c r="C84" s="91" t="s">
        <v>300</v>
      </c>
      <c r="D84" s="5"/>
      <c r="E84" s="91" t="s">
        <v>467</v>
      </c>
      <c r="F84" s="121">
        <v>2</v>
      </c>
      <c r="G84" s="121">
        <v>1</v>
      </c>
      <c r="H84" s="121">
        <v>2</v>
      </c>
      <c r="I84" s="16">
        <v>0.01</v>
      </c>
      <c r="J84" s="16"/>
      <c r="K84" s="121">
        <f t="shared" si="9"/>
        <v>5.01</v>
      </c>
    </row>
    <row r="85" spans="1:16383" ht="16.5" customHeight="1">
      <c r="A85" s="121"/>
      <c r="B85" s="12"/>
      <c r="C85" s="121"/>
      <c r="D85" s="121"/>
      <c r="E85" s="121"/>
      <c r="F85" s="121"/>
      <c r="G85" s="122"/>
      <c r="H85" s="122"/>
      <c r="I85" s="122"/>
      <c r="J85" s="122"/>
      <c r="K85" s="122"/>
    </row>
    <row r="86" spans="1:16383" ht="16.5" customHeight="1">
      <c r="A86" s="15"/>
      <c r="B86" s="120" t="s">
        <v>0</v>
      </c>
      <c r="C86" s="15"/>
      <c r="D86" s="15">
        <f>SUM(D4:D85)</f>
        <v>50</v>
      </c>
      <c r="E86" s="15"/>
      <c r="F86" s="15">
        <f>SUM(F4:F85)</f>
        <v>222</v>
      </c>
      <c r="G86" s="15">
        <f t="shared" ref="G86:K86" si="10">SUM(G4:G85)</f>
        <v>117</v>
      </c>
      <c r="H86" s="15">
        <f t="shared" si="10"/>
        <v>119</v>
      </c>
      <c r="I86" s="15">
        <f t="shared" si="10"/>
        <v>1.5400000000000007</v>
      </c>
      <c r="J86" s="15">
        <f t="shared" si="10"/>
        <v>53</v>
      </c>
      <c r="K86" s="15">
        <f t="shared" si="10"/>
        <v>512.53999999999951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  <c r="JJ86" s="27"/>
      <c r="JK86" s="27"/>
      <c r="JL86" s="27"/>
      <c r="JM86" s="27"/>
      <c r="JN86" s="27"/>
      <c r="JO86" s="27"/>
      <c r="JP86" s="27"/>
      <c r="JQ86" s="27"/>
      <c r="JR86" s="27"/>
      <c r="JS86" s="27"/>
      <c r="JT86" s="27"/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  <c r="NO86" s="27"/>
      <c r="NP86" s="27"/>
      <c r="NQ86" s="27"/>
      <c r="NR86" s="27"/>
      <c r="NS86" s="27"/>
      <c r="NT86" s="27"/>
      <c r="NU86" s="27"/>
      <c r="NV86" s="27"/>
      <c r="NW86" s="27"/>
      <c r="NX86" s="27"/>
      <c r="NY86" s="27"/>
      <c r="NZ86" s="27"/>
      <c r="OA86" s="27"/>
      <c r="OB86" s="27"/>
      <c r="OC86" s="27"/>
      <c r="OD86" s="27"/>
      <c r="OE86" s="27"/>
      <c r="OF86" s="27"/>
      <c r="OG86" s="27"/>
      <c r="OH86" s="27"/>
      <c r="OI86" s="27"/>
      <c r="OJ86" s="27"/>
      <c r="OK86" s="27"/>
      <c r="OL86" s="27"/>
      <c r="OM86" s="27"/>
      <c r="ON86" s="27"/>
      <c r="OO86" s="27"/>
      <c r="OP86" s="27"/>
      <c r="OQ86" s="27"/>
      <c r="OR86" s="27"/>
      <c r="OS86" s="27"/>
      <c r="OT86" s="27"/>
      <c r="OU86" s="27"/>
      <c r="OV86" s="27"/>
      <c r="OW86" s="27"/>
      <c r="OX86" s="27"/>
      <c r="OY86" s="27"/>
      <c r="OZ86" s="27"/>
      <c r="PA86" s="27"/>
      <c r="PB86" s="27"/>
      <c r="PC86" s="27"/>
      <c r="PD86" s="27"/>
      <c r="PE86" s="27"/>
      <c r="PF86" s="27"/>
      <c r="PG86" s="27"/>
      <c r="PH86" s="27"/>
      <c r="PI86" s="27"/>
      <c r="PJ86" s="27"/>
      <c r="PK86" s="27"/>
      <c r="PL86" s="27"/>
      <c r="PM86" s="27"/>
      <c r="PN86" s="27"/>
      <c r="PO86" s="27"/>
      <c r="PP86" s="27"/>
      <c r="PQ86" s="27"/>
      <c r="PR86" s="27"/>
      <c r="PS86" s="27"/>
      <c r="PT86" s="27"/>
      <c r="PU86" s="27"/>
      <c r="PV86" s="27"/>
      <c r="PW86" s="27"/>
      <c r="PX86" s="27"/>
      <c r="PY86" s="27"/>
      <c r="PZ86" s="27"/>
      <c r="QA86" s="27"/>
      <c r="QB86" s="27"/>
      <c r="QC86" s="27"/>
      <c r="QD86" s="27"/>
      <c r="QE86" s="27"/>
      <c r="QF86" s="27"/>
      <c r="QG86" s="27"/>
      <c r="QH86" s="27"/>
      <c r="QI86" s="27"/>
      <c r="QJ86" s="27"/>
      <c r="QK86" s="27"/>
      <c r="QL86" s="27"/>
      <c r="QM86" s="27"/>
      <c r="QN86" s="27"/>
      <c r="QO86" s="27"/>
      <c r="QP86" s="27"/>
      <c r="QQ86" s="27"/>
      <c r="QR86" s="27"/>
      <c r="QS86" s="27"/>
      <c r="QT86" s="27"/>
      <c r="QU86" s="27"/>
      <c r="QV86" s="27"/>
      <c r="QW86" s="27"/>
      <c r="QX86" s="27"/>
      <c r="QY86" s="27"/>
      <c r="QZ86" s="27"/>
      <c r="RA86" s="27"/>
      <c r="RB86" s="27"/>
      <c r="RC86" s="27"/>
      <c r="RD86" s="27"/>
      <c r="RE86" s="27"/>
      <c r="RF86" s="27"/>
      <c r="RG86" s="27"/>
      <c r="RH86" s="27"/>
      <c r="RI86" s="27"/>
      <c r="RJ86" s="27"/>
      <c r="RK86" s="27"/>
      <c r="RL86" s="27"/>
      <c r="RM86" s="27"/>
      <c r="RN86" s="27"/>
      <c r="RO86" s="27"/>
      <c r="RP86" s="27"/>
      <c r="RQ86" s="27"/>
      <c r="RR86" s="27"/>
      <c r="RS86" s="27"/>
      <c r="RT86" s="27"/>
      <c r="RU86" s="27"/>
      <c r="RV86" s="27"/>
      <c r="RW86" s="27"/>
      <c r="RX86" s="27"/>
      <c r="RY86" s="27"/>
      <c r="RZ86" s="27"/>
      <c r="SA86" s="27"/>
      <c r="SB86" s="27"/>
      <c r="SC86" s="27"/>
      <c r="SD86" s="27"/>
      <c r="SE86" s="27"/>
      <c r="SF86" s="27"/>
      <c r="SG86" s="27"/>
      <c r="SH86" s="27"/>
      <c r="SI86" s="27"/>
      <c r="SJ86" s="27"/>
      <c r="SK86" s="27"/>
      <c r="SL86" s="27"/>
      <c r="SM86" s="27"/>
      <c r="SN86" s="27"/>
      <c r="SO86" s="27"/>
      <c r="SP86" s="27"/>
      <c r="SQ86" s="27"/>
      <c r="SR86" s="27"/>
      <c r="SS86" s="27"/>
      <c r="ST86" s="27"/>
      <c r="SU86" s="27"/>
      <c r="SV86" s="27"/>
      <c r="SW86" s="27"/>
      <c r="SX86" s="27"/>
      <c r="SY86" s="27"/>
      <c r="SZ86" s="27"/>
      <c r="TA86" s="27"/>
      <c r="TB86" s="27"/>
      <c r="TC86" s="27"/>
      <c r="TD86" s="27"/>
      <c r="TE86" s="27"/>
      <c r="TF86" s="27"/>
      <c r="TG86" s="27"/>
      <c r="TH86" s="27"/>
      <c r="TI86" s="27"/>
      <c r="TJ86" s="27"/>
      <c r="TK86" s="27"/>
      <c r="TL86" s="27"/>
      <c r="TM86" s="27"/>
      <c r="TN86" s="27"/>
      <c r="TO86" s="27"/>
      <c r="TP86" s="27"/>
      <c r="TQ86" s="27"/>
      <c r="TR86" s="27"/>
      <c r="TS86" s="27"/>
      <c r="TT86" s="27"/>
      <c r="TU86" s="27"/>
      <c r="TV86" s="27"/>
      <c r="TW86" s="27"/>
      <c r="TX86" s="27"/>
      <c r="TY86" s="27"/>
      <c r="TZ86" s="27"/>
      <c r="UA86" s="27"/>
      <c r="UB86" s="27"/>
      <c r="UC86" s="27"/>
      <c r="UD86" s="27"/>
      <c r="UE86" s="27"/>
      <c r="UF86" s="27"/>
      <c r="UG86" s="27"/>
      <c r="UH86" s="27"/>
      <c r="UI86" s="27"/>
      <c r="UJ86" s="27"/>
      <c r="UK86" s="27"/>
      <c r="UL86" s="27"/>
      <c r="UM86" s="27"/>
      <c r="UN86" s="27"/>
      <c r="UO86" s="27"/>
      <c r="UP86" s="27"/>
      <c r="UQ86" s="27"/>
      <c r="UR86" s="27"/>
      <c r="US86" s="27"/>
      <c r="UT86" s="27"/>
      <c r="UU86" s="27"/>
      <c r="UV86" s="27"/>
      <c r="UW86" s="27"/>
      <c r="UX86" s="27"/>
      <c r="UY86" s="27"/>
      <c r="UZ86" s="27"/>
      <c r="VA86" s="27"/>
      <c r="VB86" s="27"/>
      <c r="VC86" s="27"/>
      <c r="VD86" s="27"/>
      <c r="VE86" s="27"/>
      <c r="VF86" s="27"/>
      <c r="VG86" s="27"/>
      <c r="VH86" s="27"/>
      <c r="VI86" s="27"/>
      <c r="VJ86" s="27"/>
      <c r="VK86" s="27"/>
      <c r="VL86" s="27"/>
      <c r="VM86" s="27"/>
      <c r="VN86" s="27"/>
      <c r="VO86" s="27"/>
      <c r="VP86" s="27"/>
      <c r="VQ86" s="27"/>
      <c r="VR86" s="27"/>
      <c r="VS86" s="27"/>
      <c r="VT86" s="27"/>
      <c r="VU86" s="27"/>
      <c r="VV86" s="27"/>
      <c r="VW86" s="27"/>
      <c r="VX86" s="27"/>
      <c r="VY86" s="27"/>
      <c r="VZ86" s="27"/>
      <c r="WA86" s="27"/>
      <c r="WB86" s="27"/>
      <c r="WC86" s="27"/>
      <c r="WD86" s="27"/>
      <c r="WE86" s="27"/>
      <c r="WF86" s="27"/>
      <c r="WG86" s="27"/>
      <c r="WH86" s="27"/>
      <c r="WI86" s="27"/>
      <c r="WJ86" s="27"/>
      <c r="WK86" s="27"/>
      <c r="WL86" s="27"/>
      <c r="WM86" s="27"/>
      <c r="WN86" s="27"/>
      <c r="WO86" s="27"/>
      <c r="WP86" s="27"/>
      <c r="WQ86" s="27"/>
      <c r="WR86" s="27"/>
      <c r="WS86" s="27"/>
      <c r="WT86" s="27"/>
      <c r="WU86" s="27"/>
      <c r="WV86" s="27"/>
      <c r="WW86" s="27"/>
      <c r="WX86" s="27"/>
      <c r="WY86" s="27"/>
      <c r="WZ86" s="27"/>
      <c r="XA86" s="27"/>
      <c r="XB86" s="27"/>
      <c r="XC86" s="27"/>
      <c r="XD86" s="27"/>
      <c r="XE86" s="27"/>
      <c r="XF86" s="27"/>
      <c r="XG86" s="27"/>
      <c r="XH86" s="27"/>
      <c r="XI86" s="27"/>
      <c r="XJ86" s="27"/>
      <c r="XK86" s="27"/>
      <c r="XL86" s="27"/>
      <c r="XM86" s="27"/>
      <c r="XN86" s="27"/>
      <c r="XO86" s="27"/>
      <c r="XP86" s="27"/>
      <c r="XQ86" s="27"/>
      <c r="XR86" s="27"/>
      <c r="XS86" s="27"/>
      <c r="XT86" s="27"/>
      <c r="XU86" s="27"/>
      <c r="XV86" s="27"/>
      <c r="XW86" s="27"/>
      <c r="XX86" s="27"/>
      <c r="XY86" s="27"/>
      <c r="XZ86" s="27"/>
      <c r="YA86" s="27"/>
      <c r="YB86" s="27"/>
      <c r="YC86" s="27"/>
      <c r="YD86" s="27"/>
      <c r="YE86" s="27"/>
      <c r="YF86" s="27"/>
      <c r="YG86" s="27"/>
      <c r="YH86" s="27"/>
      <c r="YI86" s="27"/>
      <c r="YJ86" s="27"/>
      <c r="YK86" s="27"/>
      <c r="YL86" s="27"/>
      <c r="YM86" s="27"/>
      <c r="YN86" s="27"/>
      <c r="YO86" s="27"/>
      <c r="YP86" s="27"/>
      <c r="YQ86" s="27"/>
      <c r="YR86" s="27"/>
      <c r="YS86" s="27"/>
      <c r="YT86" s="27"/>
      <c r="YU86" s="27"/>
      <c r="YV86" s="27"/>
      <c r="YW86" s="27"/>
      <c r="YX86" s="27"/>
      <c r="YY86" s="27"/>
      <c r="YZ86" s="27"/>
      <c r="ZA86" s="27"/>
      <c r="ZB86" s="27"/>
      <c r="ZC86" s="27"/>
      <c r="ZD86" s="27"/>
      <c r="ZE86" s="27"/>
      <c r="ZF86" s="27"/>
      <c r="ZG86" s="27"/>
      <c r="ZH86" s="27"/>
      <c r="ZI86" s="27"/>
      <c r="ZJ86" s="27"/>
      <c r="ZK86" s="27"/>
      <c r="ZL86" s="27"/>
      <c r="ZM86" s="27"/>
      <c r="ZN86" s="27"/>
      <c r="ZO86" s="27"/>
      <c r="ZP86" s="27"/>
      <c r="ZQ86" s="27"/>
      <c r="ZR86" s="27"/>
      <c r="ZS86" s="27"/>
      <c r="ZT86" s="27"/>
      <c r="ZU86" s="27"/>
      <c r="ZV86" s="27"/>
      <c r="ZW86" s="27"/>
      <c r="ZX86" s="27"/>
      <c r="ZY86" s="27"/>
      <c r="ZZ86" s="27"/>
      <c r="AAA86" s="27"/>
      <c r="AAB86" s="27"/>
      <c r="AAC86" s="27"/>
      <c r="AAD86" s="27"/>
      <c r="AAE86" s="27"/>
      <c r="AAF86" s="27"/>
      <c r="AAG86" s="27"/>
      <c r="AAH86" s="27"/>
      <c r="AAI86" s="27"/>
      <c r="AAJ86" s="27"/>
      <c r="AAK86" s="27"/>
      <c r="AAL86" s="27"/>
      <c r="AAM86" s="27"/>
      <c r="AAN86" s="27"/>
      <c r="AAO86" s="27"/>
      <c r="AAP86" s="27"/>
      <c r="AAQ86" s="27"/>
      <c r="AAR86" s="27"/>
      <c r="AAS86" s="27"/>
      <c r="AAT86" s="27"/>
      <c r="AAU86" s="27"/>
      <c r="AAV86" s="27"/>
      <c r="AAW86" s="27"/>
      <c r="AAX86" s="27"/>
      <c r="AAY86" s="27"/>
      <c r="AAZ86" s="27"/>
      <c r="ABA86" s="27"/>
      <c r="ABB86" s="27"/>
      <c r="ABC86" s="27"/>
      <c r="ABD86" s="27"/>
      <c r="ABE86" s="27"/>
      <c r="ABF86" s="27"/>
      <c r="ABG86" s="27"/>
      <c r="ABH86" s="27"/>
      <c r="ABI86" s="27"/>
      <c r="ABJ86" s="27"/>
      <c r="ABK86" s="27"/>
      <c r="ABL86" s="27"/>
      <c r="ABM86" s="27"/>
      <c r="ABN86" s="27"/>
      <c r="ABO86" s="27"/>
      <c r="ABP86" s="27"/>
      <c r="ABQ86" s="27"/>
      <c r="ABR86" s="27"/>
      <c r="ABS86" s="27"/>
      <c r="ABT86" s="27"/>
      <c r="ABU86" s="27"/>
      <c r="ABV86" s="27"/>
      <c r="ABW86" s="27"/>
      <c r="ABX86" s="27"/>
      <c r="ABY86" s="27"/>
      <c r="ABZ86" s="27"/>
      <c r="ACA86" s="27"/>
      <c r="ACB86" s="27"/>
      <c r="ACC86" s="27"/>
      <c r="ACD86" s="27"/>
      <c r="ACE86" s="27"/>
      <c r="ACF86" s="27"/>
      <c r="ACG86" s="27"/>
      <c r="ACH86" s="27"/>
      <c r="ACI86" s="27"/>
      <c r="ACJ86" s="27"/>
      <c r="ACK86" s="27"/>
      <c r="ACL86" s="27"/>
      <c r="ACM86" s="27"/>
      <c r="ACN86" s="27"/>
      <c r="ACO86" s="27"/>
      <c r="ACP86" s="27"/>
      <c r="ACQ86" s="27"/>
      <c r="ACR86" s="27"/>
      <c r="ACS86" s="27"/>
      <c r="ACT86" s="27"/>
      <c r="ACU86" s="27"/>
      <c r="ACV86" s="27"/>
      <c r="ACW86" s="27"/>
      <c r="ACX86" s="27"/>
      <c r="ACY86" s="27"/>
      <c r="ACZ86" s="27"/>
      <c r="ADA86" s="27"/>
      <c r="ADB86" s="27"/>
      <c r="ADC86" s="27"/>
      <c r="ADD86" s="27"/>
      <c r="ADE86" s="27"/>
      <c r="ADF86" s="27"/>
      <c r="ADG86" s="27"/>
      <c r="ADH86" s="27"/>
      <c r="ADI86" s="27"/>
      <c r="ADJ86" s="27"/>
      <c r="ADK86" s="27"/>
      <c r="ADL86" s="27"/>
      <c r="ADM86" s="27"/>
      <c r="ADN86" s="27"/>
      <c r="ADO86" s="27"/>
      <c r="ADP86" s="27"/>
      <c r="ADQ86" s="27"/>
      <c r="ADR86" s="27"/>
      <c r="ADS86" s="27"/>
      <c r="ADT86" s="27"/>
      <c r="ADU86" s="27"/>
      <c r="ADV86" s="27"/>
      <c r="ADW86" s="27"/>
      <c r="ADX86" s="27"/>
      <c r="ADY86" s="27"/>
      <c r="ADZ86" s="27"/>
      <c r="AEA86" s="27"/>
      <c r="AEB86" s="27"/>
      <c r="AEC86" s="27"/>
      <c r="AED86" s="27"/>
      <c r="AEE86" s="27"/>
      <c r="AEF86" s="27"/>
      <c r="AEG86" s="27"/>
      <c r="AEH86" s="27"/>
      <c r="AEI86" s="27"/>
      <c r="AEJ86" s="27"/>
      <c r="AEK86" s="27"/>
      <c r="AEL86" s="27"/>
      <c r="AEM86" s="27"/>
      <c r="AEN86" s="27"/>
      <c r="AEO86" s="27"/>
      <c r="AEP86" s="27"/>
      <c r="AEQ86" s="27"/>
      <c r="AER86" s="27"/>
      <c r="AES86" s="27"/>
      <c r="AET86" s="27"/>
      <c r="AEU86" s="27"/>
      <c r="AEV86" s="27"/>
      <c r="AEW86" s="27"/>
      <c r="AEX86" s="27"/>
      <c r="AEY86" s="27"/>
      <c r="AEZ86" s="27"/>
      <c r="AFA86" s="27"/>
      <c r="AFB86" s="27"/>
      <c r="AFC86" s="27"/>
      <c r="AFD86" s="27"/>
      <c r="AFE86" s="27"/>
      <c r="AFF86" s="27"/>
      <c r="AFG86" s="27"/>
      <c r="AFH86" s="27"/>
      <c r="AFI86" s="27"/>
      <c r="AFJ86" s="27"/>
      <c r="AFK86" s="27"/>
      <c r="AFL86" s="27"/>
      <c r="AFM86" s="27"/>
      <c r="AFN86" s="27"/>
      <c r="AFO86" s="27"/>
      <c r="AFP86" s="27"/>
      <c r="AFQ86" s="27"/>
      <c r="AFR86" s="27"/>
      <c r="AFS86" s="27"/>
      <c r="AFT86" s="27"/>
      <c r="AFU86" s="27"/>
      <c r="AFV86" s="27"/>
      <c r="AFW86" s="27"/>
      <c r="AFX86" s="27"/>
      <c r="AFY86" s="27"/>
      <c r="AFZ86" s="27"/>
      <c r="AGA86" s="27"/>
      <c r="AGB86" s="27"/>
      <c r="AGC86" s="27"/>
      <c r="AGD86" s="27"/>
      <c r="AGE86" s="27"/>
      <c r="AGF86" s="27"/>
      <c r="AGG86" s="27"/>
      <c r="AGH86" s="27"/>
      <c r="AGI86" s="27"/>
      <c r="AGJ86" s="27"/>
      <c r="AGK86" s="27"/>
      <c r="AGL86" s="27"/>
      <c r="AGM86" s="27"/>
      <c r="AGN86" s="27"/>
      <c r="AGO86" s="27"/>
      <c r="AGP86" s="27"/>
      <c r="AGQ86" s="27"/>
      <c r="AGR86" s="27"/>
      <c r="AGS86" s="27"/>
      <c r="AGT86" s="27"/>
      <c r="AGU86" s="27"/>
      <c r="AGV86" s="27"/>
      <c r="AGW86" s="27"/>
      <c r="AGX86" s="27"/>
      <c r="AGY86" s="27"/>
      <c r="AGZ86" s="27"/>
      <c r="AHA86" s="27"/>
      <c r="AHB86" s="27"/>
      <c r="AHC86" s="27"/>
      <c r="AHD86" s="27"/>
      <c r="AHE86" s="27"/>
      <c r="AHF86" s="27"/>
      <c r="AHG86" s="27"/>
      <c r="AHH86" s="27"/>
      <c r="AHI86" s="27"/>
      <c r="AHJ86" s="27"/>
      <c r="AHK86" s="27"/>
      <c r="AHL86" s="27"/>
      <c r="AHM86" s="27"/>
      <c r="AHN86" s="27"/>
      <c r="AHO86" s="27"/>
      <c r="AHP86" s="27"/>
      <c r="AHQ86" s="27"/>
      <c r="AHR86" s="27"/>
      <c r="AHS86" s="27"/>
      <c r="AHT86" s="27"/>
      <c r="AHU86" s="27"/>
      <c r="AHV86" s="27"/>
      <c r="AHW86" s="27"/>
      <c r="AHX86" s="27"/>
      <c r="AHY86" s="27"/>
      <c r="AHZ86" s="27"/>
      <c r="AIA86" s="27"/>
      <c r="AIB86" s="27"/>
      <c r="AIC86" s="27"/>
      <c r="AID86" s="27"/>
      <c r="AIE86" s="27"/>
      <c r="AIF86" s="27"/>
      <c r="AIG86" s="27"/>
      <c r="AIH86" s="27"/>
      <c r="AII86" s="27"/>
      <c r="AIJ86" s="27"/>
      <c r="AIK86" s="27"/>
      <c r="AIL86" s="27"/>
      <c r="AIM86" s="27"/>
      <c r="AIN86" s="27"/>
      <c r="AIO86" s="27"/>
      <c r="AIP86" s="27"/>
      <c r="AIQ86" s="27"/>
      <c r="AIR86" s="27"/>
      <c r="AIS86" s="27"/>
      <c r="AIT86" s="27"/>
      <c r="AIU86" s="27"/>
      <c r="AIV86" s="27"/>
      <c r="AIW86" s="27"/>
      <c r="AIX86" s="27"/>
      <c r="AIY86" s="27"/>
      <c r="AIZ86" s="27"/>
      <c r="AJA86" s="27"/>
      <c r="AJB86" s="27"/>
      <c r="AJC86" s="27"/>
      <c r="AJD86" s="27"/>
      <c r="AJE86" s="27"/>
      <c r="AJF86" s="27"/>
      <c r="AJG86" s="27"/>
      <c r="AJH86" s="27"/>
      <c r="AJI86" s="27"/>
      <c r="AJJ86" s="27"/>
      <c r="AJK86" s="27"/>
      <c r="AJL86" s="27"/>
      <c r="AJM86" s="27"/>
      <c r="AJN86" s="27"/>
      <c r="AJO86" s="27"/>
      <c r="AJP86" s="27"/>
      <c r="AJQ86" s="27"/>
      <c r="AJR86" s="27"/>
      <c r="AJS86" s="27"/>
      <c r="AJT86" s="27"/>
      <c r="AJU86" s="27"/>
      <c r="AJV86" s="27"/>
      <c r="AJW86" s="27"/>
      <c r="AJX86" s="27"/>
      <c r="AJY86" s="27"/>
      <c r="AJZ86" s="27"/>
      <c r="AKA86" s="27"/>
      <c r="AKB86" s="27"/>
      <c r="AKC86" s="27"/>
      <c r="AKD86" s="27"/>
      <c r="AKE86" s="27"/>
      <c r="AKF86" s="27"/>
      <c r="AKG86" s="27"/>
      <c r="AKH86" s="27"/>
      <c r="AKI86" s="27"/>
      <c r="AKJ86" s="27"/>
      <c r="AKK86" s="27"/>
      <c r="AKL86" s="27"/>
      <c r="AKM86" s="27"/>
      <c r="AKN86" s="27"/>
      <c r="AKO86" s="27"/>
      <c r="AKP86" s="27"/>
      <c r="AKQ86" s="27"/>
      <c r="AKR86" s="27"/>
      <c r="AKS86" s="27"/>
      <c r="AKT86" s="27"/>
      <c r="AKU86" s="27"/>
      <c r="AKV86" s="27"/>
      <c r="AKW86" s="27"/>
      <c r="AKX86" s="27"/>
      <c r="AKY86" s="27"/>
      <c r="AKZ86" s="27"/>
      <c r="ALA86" s="27"/>
      <c r="ALB86" s="27"/>
      <c r="ALC86" s="27"/>
      <c r="ALD86" s="27"/>
      <c r="ALE86" s="27"/>
      <c r="ALF86" s="27"/>
      <c r="ALG86" s="27"/>
      <c r="ALH86" s="27"/>
      <c r="ALI86" s="27"/>
      <c r="ALJ86" s="27"/>
      <c r="ALK86" s="27"/>
      <c r="ALL86" s="27"/>
      <c r="ALM86" s="27"/>
      <c r="ALN86" s="27"/>
      <c r="ALO86" s="27"/>
      <c r="ALP86" s="27"/>
      <c r="ALQ86" s="27"/>
      <c r="ALR86" s="27"/>
      <c r="ALS86" s="27"/>
      <c r="ALT86" s="27"/>
      <c r="ALU86" s="27"/>
      <c r="ALV86" s="27"/>
      <c r="ALW86" s="27"/>
      <c r="ALX86" s="27"/>
      <c r="ALY86" s="27"/>
      <c r="ALZ86" s="27"/>
      <c r="AMA86" s="27"/>
      <c r="AMB86" s="27"/>
      <c r="AMC86" s="27"/>
      <c r="AMD86" s="27"/>
      <c r="AME86" s="27"/>
      <c r="AMF86" s="27"/>
      <c r="AMG86" s="27"/>
      <c r="AMH86" s="27"/>
      <c r="AMI86" s="27"/>
      <c r="AMJ86" s="27"/>
      <c r="AMK86" s="27"/>
      <c r="AML86" s="27"/>
      <c r="AMM86" s="27"/>
      <c r="AMN86" s="27"/>
      <c r="AMO86" s="27"/>
      <c r="AMP86" s="27"/>
      <c r="AMQ86" s="27"/>
      <c r="AMR86" s="27"/>
      <c r="AMS86" s="27"/>
      <c r="AMT86" s="27"/>
      <c r="AMU86" s="27"/>
      <c r="AMV86" s="27"/>
      <c r="AMW86" s="27"/>
      <c r="AMX86" s="27"/>
      <c r="AMY86" s="27"/>
      <c r="AMZ86" s="27"/>
      <c r="ANA86" s="27"/>
      <c r="ANB86" s="27"/>
      <c r="ANC86" s="27"/>
      <c r="AND86" s="27"/>
      <c r="ANE86" s="27"/>
      <c r="ANF86" s="27"/>
      <c r="ANG86" s="27"/>
      <c r="ANH86" s="27"/>
      <c r="ANI86" s="27"/>
      <c r="ANJ86" s="27"/>
      <c r="ANK86" s="27"/>
      <c r="ANL86" s="27"/>
      <c r="ANM86" s="27"/>
      <c r="ANN86" s="27"/>
      <c r="ANO86" s="27"/>
      <c r="ANP86" s="27"/>
      <c r="ANQ86" s="27"/>
      <c r="ANR86" s="27"/>
      <c r="ANS86" s="27"/>
      <c r="ANT86" s="27"/>
      <c r="ANU86" s="27"/>
      <c r="ANV86" s="27"/>
      <c r="ANW86" s="27"/>
      <c r="ANX86" s="27"/>
      <c r="ANY86" s="27"/>
      <c r="ANZ86" s="27"/>
      <c r="AOA86" s="27"/>
      <c r="AOB86" s="27"/>
      <c r="AOC86" s="27"/>
      <c r="AOD86" s="27"/>
      <c r="AOE86" s="27"/>
      <c r="AOF86" s="27"/>
      <c r="AOG86" s="27"/>
      <c r="AOH86" s="27"/>
      <c r="AOI86" s="27"/>
      <c r="AOJ86" s="27"/>
      <c r="AOK86" s="27"/>
      <c r="AOL86" s="27"/>
      <c r="AOM86" s="27"/>
      <c r="AON86" s="27"/>
      <c r="AOO86" s="27"/>
      <c r="AOP86" s="27"/>
      <c r="AOQ86" s="27"/>
      <c r="AOR86" s="27"/>
      <c r="AOS86" s="27"/>
      <c r="AOT86" s="27"/>
      <c r="AOU86" s="27"/>
      <c r="AOV86" s="27"/>
      <c r="AOW86" s="27"/>
      <c r="AOX86" s="27"/>
      <c r="AOY86" s="27"/>
      <c r="AOZ86" s="27"/>
      <c r="APA86" s="27"/>
      <c r="APB86" s="27"/>
      <c r="APC86" s="27"/>
      <c r="APD86" s="27"/>
      <c r="APE86" s="27"/>
      <c r="APF86" s="27"/>
      <c r="APG86" s="27"/>
      <c r="APH86" s="27"/>
      <c r="API86" s="27"/>
      <c r="APJ86" s="27"/>
      <c r="APK86" s="27"/>
      <c r="APL86" s="27"/>
      <c r="APM86" s="27"/>
      <c r="APN86" s="27"/>
      <c r="APO86" s="27"/>
      <c r="APP86" s="27"/>
      <c r="APQ86" s="27"/>
      <c r="APR86" s="27"/>
      <c r="APS86" s="27"/>
      <c r="APT86" s="27"/>
      <c r="APU86" s="27"/>
      <c r="APV86" s="27"/>
      <c r="APW86" s="27"/>
      <c r="APX86" s="27"/>
      <c r="APY86" s="27"/>
      <c r="APZ86" s="27"/>
      <c r="AQA86" s="27"/>
      <c r="AQB86" s="27"/>
      <c r="AQC86" s="27"/>
      <c r="AQD86" s="27"/>
      <c r="AQE86" s="27"/>
      <c r="AQF86" s="27"/>
      <c r="AQG86" s="27"/>
      <c r="AQH86" s="27"/>
      <c r="AQI86" s="27"/>
      <c r="AQJ86" s="27"/>
      <c r="AQK86" s="27"/>
      <c r="AQL86" s="27"/>
      <c r="AQM86" s="27"/>
      <c r="AQN86" s="27"/>
      <c r="AQO86" s="27"/>
      <c r="AQP86" s="27"/>
      <c r="AQQ86" s="27"/>
      <c r="AQR86" s="27"/>
      <c r="AQS86" s="27"/>
      <c r="AQT86" s="27"/>
      <c r="AQU86" s="27"/>
      <c r="AQV86" s="27"/>
      <c r="AQW86" s="27"/>
      <c r="AQX86" s="27"/>
      <c r="AQY86" s="27"/>
      <c r="AQZ86" s="27"/>
      <c r="ARA86" s="27"/>
      <c r="ARB86" s="27"/>
      <c r="ARC86" s="27"/>
      <c r="ARD86" s="27"/>
      <c r="ARE86" s="27"/>
      <c r="ARF86" s="27"/>
      <c r="ARG86" s="27"/>
      <c r="ARH86" s="27"/>
      <c r="ARI86" s="27"/>
      <c r="ARJ86" s="27"/>
      <c r="ARK86" s="27"/>
      <c r="ARL86" s="27"/>
      <c r="ARM86" s="27"/>
      <c r="ARN86" s="27"/>
      <c r="ARO86" s="27"/>
      <c r="ARP86" s="27"/>
      <c r="ARQ86" s="27"/>
      <c r="ARR86" s="27"/>
      <c r="ARS86" s="27"/>
      <c r="ART86" s="27"/>
      <c r="ARU86" s="27"/>
      <c r="ARV86" s="27"/>
      <c r="ARW86" s="27"/>
      <c r="ARX86" s="27"/>
      <c r="ARY86" s="27"/>
      <c r="ARZ86" s="27"/>
      <c r="ASA86" s="27"/>
      <c r="ASB86" s="27"/>
      <c r="ASC86" s="27"/>
      <c r="ASD86" s="27"/>
      <c r="ASE86" s="27"/>
      <c r="ASF86" s="27"/>
      <c r="ASG86" s="27"/>
      <c r="ASH86" s="27"/>
      <c r="ASI86" s="27"/>
      <c r="ASJ86" s="27"/>
      <c r="ASK86" s="27"/>
      <c r="ASL86" s="27"/>
      <c r="ASM86" s="27"/>
      <c r="ASN86" s="27"/>
      <c r="ASO86" s="27"/>
      <c r="ASP86" s="27"/>
      <c r="ASQ86" s="27"/>
      <c r="ASR86" s="27"/>
      <c r="ASS86" s="27"/>
      <c r="AST86" s="27"/>
      <c r="ASU86" s="27"/>
      <c r="ASV86" s="27"/>
      <c r="ASW86" s="27"/>
      <c r="ASX86" s="27"/>
      <c r="ASY86" s="27"/>
      <c r="ASZ86" s="27"/>
      <c r="ATA86" s="27"/>
      <c r="ATB86" s="27"/>
      <c r="ATC86" s="27"/>
      <c r="ATD86" s="27"/>
      <c r="ATE86" s="27"/>
      <c r="ATF86" s="27"/>
      <c r="ATG86" s="27"/>
      <c r="ATH86" s="27"/>
      <c r="ATI86" s="27"/>
      <c r="ATJ86" s="27"/>
      <c r="ATK86" s="27"/>
      <c r="ATL86" s="27"/>
      <c r="ATM86" s="27"/>
      <c r="ATN86" s="27"/>
      <c r="ATO86" s="27"/>
      <c r="ATP86" s="27"/>
      <c r="ATQ86" s="27"/>
      <c r="ATR86" s="27"/>
      <c r="ATS86" s="27"/>
      <c r="ATT86" s="27"/>
      <c r="ATU86" s="27"/>
      <c r="ATV86" s="27"/>
      <c r="ATW86" s="27"/>
      <c r="ATX86" s="27"/>
      <c r="ATY86" s="27"/>
      <c r="ATZ86" s="27"/>
      <c r="AUA86" s="27"/>
      <c r="AUB86" s="27"/>
      <c r="AUC86" s="27"/>
      <c r="AUD86" s="27"/>
      <c r="AUE86" s="27"/>
      <c r="AUF86" s="27"/>
      <c r="AUG86" s="27"/>
      <c r="AUH86" s="27"/>
      <c r="AUI86" s="27"/>
      <c r="AUJ86" s="27"/>
      <c r="AUK86" s="27"/>
      <c r="AUL86" s="27"/>
      <c r="AUM86" s="27"/>
      <c r="AUN86" s="27"/>
      <c r="AUO86" s="27"/>
      <c r="AUP86" s="27"/>
      <c r="AUQ86" s="27"/>
      <c r="AUR86" s="27"/>
      <c r="AUS86" s="27"/>
      <c r="AUT86" s="27"/>
      <c r="AUU86" s="27"/>
      <c r="AUV86" s="27"/>
      <c r="AUW86" s="27"/>
      <c r="AUX86" s="27"/>
      <c r="AUY86" s="27"/>
      <c r="AUZ86" s="27"/>
      <c r="AVA86" s="27"/>
      <c r="AVB86" s="27"/>
      <c r="AVC86" s="27"/>
      <c r="AVD86" s="27"/>
      <c r="AVE86" s="27"/>
      <c r="AVF86" s="27"/>
      <c r="AVG86" s="27"/>
      <c r="AVH86" s="27"/>
      <c r="AVI86" s="27"/>
      <c r="AVJ86" s="27"/>
      <c r="AVK86" s="27"/>
      <c r="AVL86" s="27"/>
      <c r="AVM86" s="27"/>
      <c r="AVN86" s="27"/>
      <c r="AVO86" s="27"/>
      <c r="AVP86" s="27"/>
      <c r="AVQ86" s="27"/>
      <c r="AVR86" s="27"/>
      <c r="AVS86" s="27"/>
      <c r="AVT86" s="27"/>
      <c r="AVU86" s="27"/>
      <c r="AVV86" s="27"/>
      <c r="AVW86" s="27"/>
      <c r="AVX86" s="27"/>
      <c r="AVY86" s="27"/>
      <c r="AVZ86" s="27"/>
      <c r="AWA86" s="27"/>
      <c r="AWB86" s="27"/>
      <c r="AWC86" s="27"/>
      <c r="AWD86" s="27"/>
      <c r="AWE86" s="27"/>
      <c r="AWF86" s="27"/>
      <c r="AWG86" s="27"/>
      <c r="AWH86" s="27"/>
      <c r="AWI86" s="27"/>
      <c r="AWJ86" s="27"/>
      <c r="AWK86" s="27"/>
      <c r="AWL86" s="27"/>
      <c r="AWM86" s="27"/>
      <c r="AWN86" s="27"/>
      <c r="AWO86" s="27"/>
      <c r="AWP86" s="27"/>
      <c r="AWQ86" s="27"/>
      <c r="AWR86" s="27"/>
      <c r="AWS86" s="27"/>
      <c r="AWT86" s="27"/>
      <c r="AWU86" s="27"/>
      <c r="AWV86" s="27"/>
      <c r="AWW86" s="27"/>
      <c r="AWX86" s="27"/>
      <c r="AWY86" s="27"/>
      <c r="AWZ86" s="27"/>
      <c r="AXA86" s="27"/>
      <c r="AXB86" s="27"/>
      <c r="AXC86" s="27"/>
      <c r="AXD86" s="27"/>
      <c r="AXE86" s="27"/>
      <c r="AXF86" s="27"/>
      <c r="AXG86" s="27"/>
      <c r="AXH86" s="27"/>
      <c r="AXI86" s="27"/>
      <c r="AXJ86" s="27"/>
      <c r="AXK86" s="27"/>
      <c r="AXL86" s="27"/>
      <c r="AXM86" s="27"/>
      <c r="AXN86" s="27"/>
      <c r="AXO86" s="27"/>
      <c r="AXP86" s="27"/>
      <c r="AXQ86" s="27"/>
      <c r="AXR86" s="27"/>
      <c r="AXS86" s="27"/>
      <c r="AXT86" s="27"/>
      <c r="AXU86" s="27"/>
      <c r="AXV86" s="27"/>
      <c r="AXW86" s="27"/>
      <c r="AXX86" s="27"/>
      <c r="AXY86" s="27"/>
      <c r="AXZ86" s="27"/>
      <c r="AYA86" s="27"/>
      <c r="AYB86" s="27"/>
      <c r="AYC86" s="27"/>
      <c r="AYD86" s="27"/>
      <c r="AYE86" s="27"/>
      <c r="AYF86" s="27"/>
      <c r="AYG86" s="27"/>
      <c r="AYH86" s="27"/>
      <c r="AYI86" s="27"/>
      <c r="AYJ86" s="27"/>
      <c r="AYK86" s="27"/>
      <c r="AYL86" s="27"/>
      <c r="AYM86" s="27"/>
      <c r="AYN86" s="27"/>
      <c r="AYO86" s="27"/>
      <c r="AYP86" s="27"/>
      <c r="AYQ86" s="27"/>
      <c r="AYR86" s="27"/>
      <c r="AYS86" s="27"/>
      <c r="AYT86" s="27"/>
      <c r="AYU86" s="27"/>
      <c r="AYV86" s="27"/>
      <c r="AYW86" s="27"/>
      <c r="AYX86" s="27"/>
      <c r="AYY86" s="27"/>
      <c r="AYZ86" s="27"/>
      <c r="AZA86" s="27"/>
      <c r="AZB86" s="27"/>
      <c r="AZC86" s="27"/>
      <c r="AZD86" s="27"/>
      <c r="AZE86" s="27"/>
      <c r="AZF86" s="27"/>
      <c r="AZG86" s="27"/>
      <c r="AZH86" s="27"/>
      <c r="AZI86" s="27"/>
      <c r="AZJ86" s="27"/>
      <c r="AZK86" s="27"/>
      <c r="AZL86" s="27"/>
      <c r="AZM86" s="27"/>
      <c r="AZN86" s="27"/>
      <c r="AZO86" s="27"/>
      <c r="AZP86" s="27"/>
      <c r="AZQ86" s="27"/>
      <c r="AZR86" s="27"/>
      <c r="AZS86" s="27"/>
      <c r="AZT86" s="27"/>
      <c r="AZU86" s="27"/>
      <c r="AZV86" s="27"/>
      <c r="AZW86" s="27"/>
      <c r="AZX86" s="27"/>
      <c r="AZY86" s="27"/>
      <c r="AZZ86" s="27"/>
      <c r="BAA86" s="27"/>
      <c r="BAB86" s="27"/>
      <c r="BAC86" s="27"/>
      <c r="BAD86" s="27"/>
      <c r="BAE86" s="27"/>
      <c r="BAF86" s="27"/>
      <c r="BAG86" s="27"/>
      <c r="BAH86" s="27"/>
      <c r="BAI86" s="27"/>
      <c r="BAJ86" s="27"/>
      <c r="BAK86" s="27"/>
      <c r="BAL86" s="27"/>
      <c r="BAM86" s="27"/>
      <c r="BAN86" s="27"/>
      <c r="BAO86" s="27"/>
      <c r="BAP86" s="27"/>
      <c r="BAQ86" s="27"/>
      <c r="BAR86" s="27"/>
      <c r="BAS86" s="27"/>
      <c r="BAT86" s="27"/>
      <c r="BAU86" s="27"/>
      <c r="BAV86" s="27"/>
      <c r="BAW86" s="27"/>
      <c r="BAX86" s="27"/>
      <c r="BAY86" s="27"/>
      <c r="BAZ86" s="27"/>
      <c r="BBA86" s="27"/>
      <c r="BBB86" s="27"/>
      <c r="BBC86" s="27"/>
      <c r="BBD86" s="27"/>
      <c r="BBE86" s="27"/>
      <c r="BBF86" s="27"/>
      <c r="BBG86" s="27"/>
      <c r="BBH86" s="27"/>
      <c r="BBI86" s="27"/>
      <c r="BBJ86" s="27"/>
      <c r="BBK86" s="27"/>
      <c r="BBL86" s="27"/>
      <c r="BBM86" s="27"/>
      <c r="BBN86" s="27"/>
      <c r="BBO86" s="27"/>
      <c r="BBP86" s="27"/>
      <c r="BBQ86" s="27"/>
      <c r="BBR86" s="27"/>
      <c r="BBS86" s="27"/>
      <c r="BBT86" s="27"/>
      <c r="BBU86" s="27"/>
      <c r="BBV86" s="27"/>
      <c r="BBW86" s="27"/>
      <c r="BBX86" s="27"/>
      <c r="BBY86" s="27"/>
      <c r="BBZ86" s="27"/>
      <c r="BCA86" s="27"/>
      <c r="BCB86" s="27"/>
      <c r="BCC86" s="27"/>
      <c r="BCD86" s="27"/>
      <c r="BCE86" s="27"/>
      <c r="BCF86" s="27"/>
      <c r="BCG86" s="27"/>
      <c r="BCH86" s="27"/>
      <c r="BCI86" s="27"/>
      <c r="BCJ86" s="27"/>
      <c r="BCK86" s="27"/>
      <c r="BCL86" s="27"/>
      <c r="BCM86" s="27"/>
      <c r="BCN86" s="27"/>
      <c r="BCO86" s="27"/>
      <c r="BCP86" s="27"/>
      <c r="BCQ86" s="27"/>
      <c r="BCR86" s="27"/>
      <c r="BCS86" s="27"/>
      <c r="BCT86" s="27"/>
      <c r="BCU86" s="27"/>
      <c r="BCV86" s="27"/>
      <c r="BCW86" s="27"/>
      <c r="BCX86" s="27"/>
      <c r="BCY86" s="27"/>
      <c r="BCZ86" s="27"/>
      <c r="BDA86" s="27"/>
      <c r="BDB86" s="27"/>
      <c r="BDC86" s="27"/>
      <c r="BDD86" s="27"/>
      <c r="BDE86" s="27"/>
      <c r="BDF86" s="27"/>
      <c r="BDG86" s="27"/>
      <c r="BDH86" s="27"/>
      <c r="BDI86" s="27"/>
      <c r="BDJ86" s="27"/>
      <c r="BDK86" s="27"/>
      <c r="BDL86" s="27"/>
      <c r="BDM86" s="27"/>
      <c r="BDN86" s="27"/>
      <c r="BDO86" s="27"/>
      <c r="BDP86" s="27"/>
      <c r="BDQ86" s="27"/>
      <c r="BDR86" s="27"/>
      <c r="BDS86" s="27"/>
      <c r="BDT86" s="27"/>
      <c r="BDU86" s="27"/>
      <c r="BDV86" s="27"/>
      <c r="BDW86" s="27"/>
      <c r="BDX86" s="27"/>
      <c r="BDY86" s="27"/>
      <c r="BDZ86" s="27"/>
      <c r="BEA86" s="27"/>
      <c r="BEB86" s="27"/>
      <c r="BEC86" s="27"/>
      <c r="BED86" s="27"/>
      <c r="BEE86" s="27"/>
      <c r="BEF86" s="27"/>
      <c r="BEG86" s="27"/>
      <c r="BEH86" s="27"/>
      <c r="BEI86" s="27"/>
      <c r="BEJ86" s="27"/>
      <c r="BEK86" s="27"/>
      <c r="BEL86" s="27"/>
      <c r="BEM86" s="27"/>
      <c r="BEN86" s="27"/>
      <c r="BEO86" s="27"/>
      <c r="BEP86" s="27"/>
      <c r="BEQ86" s="27"/>
      <c r="BER86" s="27"/>
      <c r="BES86" s="27"/>
      <c r="BET86" s="27"/>
      <c r="BEU86" s="27"/>
      <c r="BEV86" s="27"/>
      <c r="BEW86" s="27"/>
      <c r="BEX86" s="27"/>
      <c r="BEY86" s="27"/>
      <c r="BEZ86" s="27"/>
      <c r="BFA86" s="27"/>
      <c r="BFB86" s="27"/>
      <c r="BFC86" s="27"/>
      <c r="BFD86" s="27"/>
      <c r="BFE86" s="27"/>
      <c r="BFF86" s="27"/>
      <c r="BFG86" s="27"/>
      <c r="BFH86" s="27"/>
      <c r="BFI86" s="27"/>
      <c r="BFJ86" s="27"/>
      <c r="BFK86" s="27"/>
      <c r="BFL86" s="27"/>
      <c r="BFM86" s="27"/>
      <c r="BFN86" s="27"/>
      <c r="BFO86" s="27"/>
      <c r="BFP86" s="27"/>
      <c r="BFQ86" s="27"/>
      <c r="BFR86" s="27"/>
      <c r="BFS86" s="27"/>
      <c r="BFT86" s="27"/>
      <c r="BFU86" s="27"/>
      <c r="BFV86" s="27"/>
      <c r="BFW86" s="27"/>
      <c r="BFX86" s="27"/>
      <c r="BFY86" s="27"/>
      <c r="BFZ86" s="27"/>
      <c r="BGA86" s="27"/>
      <c r="BGB86" s="27"/>
      <c r="BGC86" s="27"/>
      <c r="BGD86" s="27"/>
      <c r="BGE86" s="27"/>
      <c r="BGF86" s="27"/>
      <c r="BGG86" s="27"/>
      <c r="BGH86" s="27"/>
      <c r="BGI86" s="27"/>
      <c r="BGJ86" s="27"/>
      <c r="BGK86" s="27"/>
      <c r="BGL86" s="27"/>
      <c r="BGM86" s="27"/>
      <c r="BGN86" s="27"/>
      <c r="BGO86" s="27"/>
      <c r="BGP86" s="27"/>
      <c r="BGQ86" s="27"/>
      <c r="BGR86" s="27"/>
      <c r="BGS86" s="27"/>
      <c r="BGT86" s="27"/>
      <c r="BGU86" s="27"/>
      <c r="BGV86" s="27"/>
      <c r="BGW86" s="27"/>
      <c r="BGX86" s="27"/>
      <c r="BGY86" s="27"/>
      <c r="BGZ86" s="27"/>
      <c r="BHA86" s="27"/>
      <c r="BHB86" s="27"/>
      <c r="BHC86" s="27"/>
      <c r="BHD86" s="27"/>
      <c r="BHE86" s="27"/>
      <c r="BHF86" s="27"/>
      <c r="BHG86" s="27"/>
      <c r="BHH86" s="27"/>
      <c r="BHI86" s="27"/>
      <c r="BHJ86" s="27"/>
      <c r="BHK86" s="27"/>
      <c r="BHL86" s="27"/>
      <c r="BHM86" s="27"/>
      <c r="BHN86" s="27"/>
      <c r="BHO86" s="27"/>
      <c r="BHP86" s="27"/>
      <c r="BHQ86" s="27"/>
      <c r="BHR86" s="27"/>
      <c r="BHS86" s="27"/>
      <c r="BHT86" s="27"/>
      <c r="BHU86" s="27"/>
      <c r="BHV86" s="27"/>
      <c r="BHW86" s="27"/>
      <c r="BHX86" s="27"/>
      <c r="BHY86" s="27"/>
      <c r="BHZ86" s="27"/>
      <c r="BIA86" s="27"/>
      <c r="BIB86" s="27"/>
      <c r="BIC86" s="27"/>
      <c r="BID86" s="27"/>
      <c r="BIE86" s="27"/>
      <c r="BIF86" s="27"/>
      <c r="BIG86" s="27"/>
      <c r="BIH86" s="27"/>
      <c r="BII86" s="27"/>
      <c r="BIJ86" s="27"/>
      <c r="BIK86" s="27"/>
      <c r="BIL86" s="27"/>
      <c r="BIM86" s="27"/>
      <c r="BIN86" s="27"/>
      <c r="BIO86" s="27"/>
      <c r="BIP86" s="27"/>
      <c r="BIQ86" s="27"/>
      <c r="BIR86" s="27"/>
      <c r="BIS86" s="27"/>
      <c r="BIT86" s="27"/>
      <c r="BIU86" s="27"/>
      <c r="BIV86" s="27"/>
      <c r="BIW86" s="27"/>
      <c r="BIX86" s="27"/>
      <c r="BIY86" s="27"/>
      <c r="BIZ86" s="27"/>
      <c r="BJA86" s="27"/>
      <c r="BJB86" s="27"/>
      <c r="BJC86" s="27"/>
      <c r="BJD86" s="27"/>
      <c r="BJE86" s="27"/>
      <c r="BJF86" s="27"/>
      <c r="BJG86" s="27"/>
      <c r="BJH86" s="27"/>
      <c r="BJI86" s="27"/>
      <c r="BJJ86" s="27"/>
      <c r="BJK86" s="27"/>
      <c r="BJL86" s="27"/>
      <c r="BJM86" s="27"/>
      <c r="BJN86" s="27"/>
      <c r="BJO86" s="27"/>
      <c r="BJP86" s="27"/>
      <c r="BJQ86" s="27"/>
      <c r="BJR86" s="27"/>
      <c r="BJS86" s="27"/>
      <c r="BJT86" s="27"/>
      <c r="BJU86" s="27"/>
      <c r="BJV86" s="27"/>
      <c r="BJW86" s="27"/>
      <c r="BJX86" s="27"/>
      <c r="BJY86" s="27"/>
      <c r="BJZ86" s="27"/>
      <c r="BKA86" s="27"/>
      <c r="BKB86" s="27"/>
      <c r="BKC86" s="27"/>
      <c r="BKD86" s="27"/>
      <c r="BKE86" s="27"/>
      <c r="BKF86" s="27"/>
      <c r="BKG86" s="27"/>
      <c r="BKH86" s="27"/>
      <c r="BKI86" s="27"/>
      <c r="BKJ86" s="27"/>
      <c r="BKK86" s="27"/>
      <c r="BKL86" s="27"/>
      <c r="BKM86" s="27"/>
      <c r="BKN86" s="27"/>
      <c r="BKO86" s="27"/>
      <c r="BKP86" s="27"/>
      <c r="BKQ86" s="27"/>
      <c r="BKR86" s="27"/>
      <c r="BKS86" s="27"/>
      <c r="BKT86" s="27"/>
      <c r="BKU86" s="27"/>
      <c r="BKV86" s="27"/>
      <c r="BKW86" s="27"/>
      <c r="BKX86" s="27"/>
      <c r="BKY86" s="27"/>
      <c r="BKZ86" s="27"/>
      <c r="BLA86" s="27"/>
      <c r="BLB86" s="27"/>
      <c r="BLC86" s="27"/>
      <c r="BLD86" s="27"/>
      <c r="BLE86" s="27"/>
      <c r="BLF86" s="27"/>
      <c r="BLG86" s="27"/>
      <c r="BLH86" s="27"/>
      <c r="BLI86" s="27"/>
      <c r="BLJ86" s="27"/>
      <c r="BLK86" s="27"/>
      <c r="BLL86" s="27"/>
      <c r="BLM86" s="27"/>
      <c r="BLN86" s="27"/>
      <c r="BLO86" s="27"/>
      <c r="BLP86" s="27"/>
      <c r="BLQ86" s="27"/>
      <c r="BLR86" s="27"/>
      <c r="BLS86" s="27"/>
      <c r="BLT86" s="27"/>
      <c r="BLU86" s="27"/>
      <c r="BLV86" s="27"/>
      <c r="BLW86" s="27"/>
      <c r="BLX86" s="27"/>
      <c r="BLY86" s="27"/>
      <c r="BLZ86" s="27"/>
      <c r="BMA86" s="27"/>
      <c r="BMB86" s="27"/>
      <c r="BMC86" s="27"/>
      <c r="BMD86" s="27"/>
      <c r="BME86" s="27"/>
      <c r="BMF86" s="27"/>
      <c r="BMG86" s="27"/>
      <c r="BMH86" s="27"/>
      <c r="BMI86" s="27"/>
      <c r="BMJ86" s="27"/>
      <c r="BMK86" s="27"/>
      <c r="BML86" s="27"/>
      <c r="BMM86" s="27"/>
      <c r="BMN86" s="27"/>
      <c r="BMO86" s="27"/>
      <c r="BMP86" s="27"/>
      <c r="BMQ86" s="27"/>
      <c r="BMR86" s="27"/>
      <c r="BMS86" s="27"/>
      <c r="BMT86" s="27"/>
      <c r="BMU86" s="27"/>
      <c r="BMV86" s="27"/>
      <c r="BMW86" s="27"/>
      <c r="BMX86" s="27"/>
      <c r="BMY86" s="27"/>
      <c r="BMZ86" s="27"/>
      <c r="BNA86" s="27"/>
      <c r="BNB86" s="27"/>
      <c r="BNC86" s="27"/>
      <c r="BND86" s="27"/>
      <c r="BNE86" s="27"/>
      <c r="BNF86" s="27"/>
      <c r="BNG86" s="27"/>
      <c r="BNH86" s="27"/>
      <c r="BNI86" s="27"/>
      <c r="BNJ86" s="27"/>
      <c r="BNK86" s="27"/>
      <c r="BNL86" s="27"/>
      <c r="BNM86" s="27"/>
      <c r="BNN86" s="27"/>
      <c r="BNO86" s="27"/>
      <c r="BNP86" s="27"/>
      <c r="BNQ86" s="27"/>
      <c r="BNR86" s="27"/>
      <c r="BNS86" s="27"/>
      <c r="BNT86" s="27"/>
      <c r="BNU86" s="27"/>
      <c r="BNV86" s="27"/>
      <c r="BNW86" s="27"/>
      <c r="BNX86" s="27"/>
      <c r="BNY86" s="27"/>
      <c r="BNZ86" s="27"/>
      <c r="BOA86" s="27"/>
      <c r="BOB86" s="27"/>
      <c r="BOC86" s="27"/>
      <c r="BOD86" s="27"/>
      <c r="BOE86" s="27"/>
      <c r="BOF86" s="27"/>
      <c r="BOG86" s="27"/>
      <c r="BOH86" s="27"/>
      <c r="BOI86" s="27"/>
      <c r="BOJ86" s="27"/>
      <c r="BOK86" s="27"/>
      <c r="BOL86" s="27"/>
      <c r="BOM86" s="27"/>
      <c r="BON86" s="27"/>
      <c r="BOO86" s="27"/>
      <c r="BOP86" s="27"/>
      <c r="BOQ86" s="27"/>
      <c r="BOR86" s="27"/>
      <c r="BOS86" s="27"/>
      <c r="BOT86" s="27"/>
      <c r="BOU86" s="27"/>
      <c r="BOV86" s="27"/>
      <c r="BOW86" s="27"/>
      <c r="BOX86" s="27"/>
      <c r="BOY86" s="27"/>
      <c r="BOZ86" s="27"/>
      <c r="BPA86" s="27"/>
      <c r="BPB86" s="27"/>
      <c r="BPC86" s="27"/>
      <c r="BPD86" s="27"/>
      <c r="BPE86" s="27"/>
      <c r="BPF86" s="27"/>
      <c r="BPG86" s="27"/>
      <c r="BPH86" s="27"/>
      <c r="BPI86" s="27"/>
      <c r="BPJ86" s="27"/>
      <c r="BPK86" s="27"/>
      <c r="BPL86" s="27"/>
      <c r="BPM86" s="27"/>
      <c r="BPN86" s="27"/>
      <c r="BPO86" s="27"/>
      <c r="BPP86" s="27"/>
      <c r="BPQ86" s="27"/>
      <c r="BPR86" s="27"/>
      <c r="BPS86" s="27"/>
      <c r="BPT86" s="27"/>
      <c r="BPU86" s="27"/>
      <c r="BPV86" s="27"/>
      <c r="BPW86" s="27"/>
      <c r="BPX86" s="27"/>
      <c r="BPY86" s="27"/>
      <c r="BPZ86" s="27"/>
      <c r="BQA86" s="27"/>
      <c r="BQB86" s="27"/>
      <c r="BQC86" s="27"/>
      <c r="BQD86" s="27"/>
      <c r="BQE86" s="27"/>
      <c r="BQF86" s="27"/>
      <c r="BQG86" s="27"/>
      <c r="BQH86" s="27"/>
      <c r="BQI86" s="27"/>
      <c r="BQJ86" s="27"/>
      <c r="BQK86" s="27"/>
      <c r="BQL86" s="27"/>
      <c r="BQM86" s="27"/>
      <c r="BQN86" s="27"/>
      <c r="BQO86" s="27"/>
      <c r="BQP86" s="27"/>
      <c r="BQQ86" s="27"/>
      <c r="BQR86" s="27"/>
      <c r="BQS86" s="27"/>
      <c r="BQT86" s="27"/>
      <c r="BQU86" s="27"/>
      <c r="BQV86" s="27"/>
      <c r="BQW86" s="27"/>
      <c r="BQX86" s="27"/>
      <c r="BQY86" s="27"/>
      <c r="BQZ86" s="27"/>
      <c r="BRA86" s="27"/>
      <c r="BRB86" s="27"/>
      <c r="BRC86" s="27"/>
      <c r="BRD86" s="27"/>
      <c r="BRE86" s="27"/>
      <c r="BRF86" s="27"/>
      <c r="BRG86" s="27"/>
      <c r="BRH86" s="27"/>
      <c r="BRI86" s="27"/>
      <c r="BRJ86" s="27"/>
      <c r="BRK86" s="27"/>
      <c r="BRL86" s="27"/>
      <c r="BRM86" s="27"/>
      <c r="BRN86" s="27"/>
      <c r="BRO86" s="27"/>
      <c r="BRP86" s="27"/>
      <c r="BRQ86" s="27"/>
      <c r="BRR86" s="27"/>
      <c r="BRS86" s="27"/>
      <c r="BRT86" s="27"/>
      <c r="BRU86" s="27"/>
      <c r="BRV86" s="27"/>
      <c r="BRW86" s="27"/>
      <c r="BRX86" s="27"/>
      <c r="BRY86" s="27"/>
      <c r="BRZ86" s="27"/>
      <c r="BSA86" s="27"/>
      <c r="BSB86" s="27"/>
      <c r="BSC86" s="27"/>
      <c r="BSD86" s="27"/>
      <c r="BSE86" s="27"/>
      <c r="BSF86" s="27"/>
      <c r="BSG86" s="27"/>
      <c r="BSH86" s="27"/>
      <c r="BSI86" s="27"/>
      <c r="BSJ86" s="27"/>
      <c r="BSK86" s="27"/>
      <c r="BSL86" s="27"/>
      <c r="BSM86" s="27"/>
      <c r="BSN86" s="27"/>
      <c r="BSO86" s="27"/>
      <c r="BSP86" s="27"/>
      <c r="BSQ86" s="27"/>
      <c r="BSR86" s="27"/>
      <c r="BSS86" s="27"/>
      <c r="BST86" s="27"/>
      <c r="BSU86" s="27"/>
      <c r="BSV86" s="27"/>
      <c r="BSW86" s="27"/>
      <c r="BSX86" s="27"/>
      <c r="BSY86" s="27"/>
      <c r="BSZ86" s="27"/>
      <c r="BTA86" s="27"/>
      <c r="BTB86" s="27"/>
      <c r="BTC86" s="27"/>
      <c r="BTD86" s="27"/>
      <c r="BTE86" s="27"/>
      <c r="BTF86" s="27"/>
      <c r="BTG86" s="27"/>
      <c r="BTH86" s="27"/>
      <c r="BTI86" s="27"/>
      <c r="BTJ86" s="27"/>
      <c r="BTK86" s="27"/>
      <c r="BTL86" s="27"/>
      <c r="BTM86" s="27"/>
      <c r="BTN86" s="27"/>
      <c r="BTO86" s="27"/>
      <c r="BTP86" s="27"/>
      <c r="BTQ86" s="27"/>
      <c r="BTR86" s="27"/>
      <c r="BTS86" s="27"/>
      <c r="BTT86" s="27"/>
      <c r="BTU86" s="27"/>
      <c r="BTV86" s="27"/>
      <c r="BTW86" s="27"/>
      <c r="BTX86" s="27"/>
      <c r="BTY86" s="27"/>
      <c r="BTZ86" s="27"/>
      <c r="BUA86" s="27"/>
      <c r="BUB86" s="27"/>
      <c r="BUC86" s="27"/>
      <c r="BUD86" s="27"/>
      <c r="BUE86" s="27"/>
      <c r="BUF86" s="27"/>
      <c r="BUG86" s="27"/>
      <c r="BUH86" s="27"/>
      <c r="BUI86" s="27"/>
      <c r="BUJ86" s="27"/>
      <c r="BUK86" s="27"/>
      <c r="BUL86" s="27"/>
      <c r="BUM86" s="27"/>
      <c r="BUN86" s="27"/>
      <c r="BUO86" s="27"/>
      <c r="BUP86" s="27"/>
      <c r="BUQ86" s="27"/>
      <c r="BUR86" s="27"/>
      <c r="BUS86" s="27"/>
      <c r="BUT86" s="27"/>
      <c r="BUU86" s="27"/>
      <c r="BUV86" s="27"/>
      <c r="BUW86" s="27"/>
      <c r="BUX86" s="27"/>
      <c r="BUY86" s="27"/>
      <c r="BUZ86" s="27"/>
      <c r="BVA86" s="27"/>
      <c r="BVB86" s="27"/>
      <c r="BVC86" s="27"/>
      <c r="BVD86" s="27"/>
      <c r="BVE86" s="27"/>
      <c r="BVF86" s="27"/>
      <c r="BVG86" s="27"/>
      <c r="BVH86" s="27"/>
      <c r="BVI86" s="27"/>
      <c r="BVJ86" s="27"/>
      <c r="BVK86" s="27"/>
      <c r="BVL86" s="27"/>
      <c r="BVM86" s="27"/>
      <c r="BVN86" s="27"/>
      <c r="BVO86" s="27"/>
      <c r="BVP86" s="27"/>
      <c r="BVQ86" s="27"/>
      <c r="BVR86" s="27"/>
      <c r="BVS86" s="27"/>
      <c r="BVT86" s="27"/>
      <c r="BVU86" s="27"/>
      <c r="BVV86" s="27"/>
      <c r="BVW86" s="27"/>
      <c r="BVX86" s="27"/>
      <c r="BVY86" s="27"/>
      <c r="BVZ86" s="27"/>
      <c r="BWA86" s="27"/>
      <c r="BWB86" s="27"/>
      <c r="BWC86" s="27"/>
      <c r="BWD86" s="27"/>
      <c r="BWE86" s="27"/>
      <c r="BWF86" s="27"/>
      <c r="BWG86" s="27"/>
      <c r="BWH86" s="27"/>
      <c r="BWI86" s="27"/>
      <c r="BWJ86" s="27"/>
      <c r="BWK86" s="27"/>
      <c r="BWL86" s="27"/>
      <c r="BWM86" s="27"/>
      <c r="BWN86" s="27"/>
      <c r="BWO86" s="27"/>
      <c r="BWP86" s="27"/>
      <c r="BWQ86" s="27"/>
      <c r="BWR86" s="27"/>
      <c r="BWS86" s="27"/>
      <c r="BWT86" s="27"/>
      <c r="BWU86" s="27"/>
      <c r="BWV86" s="27"/>
      <c r="BWW86" s="27"/>
      <c r="BWX86" s="27"/>
      <c r="BWY86" s="27"/>
      <c r="BWZ86" s="27"/>
      <c r="BXA86" s="27"/>
      <c r="BXB86" s="27"/>
      <c r="BXC86" s="27"/>
      <c r="BXD86" s="27"/>
      <c r="BXE86" s="27"/>
      <c r="BXF86" s="27"/>
      <c r="BXG86" s="27"/>
      <c r="BXH86" s="27"/>
      <c r="BXI86" s="27"/>
      <c r="BXJ86" s="27"/>
      <c r="BXK86" s="27"/>
      <c r="BXL86" s="27"/>
      <c r="BXM86" s="27"/>
      <c r="BXN86" s="27"/>
      <c r="BXO86" s="27"/>
      <c r="BXP86" s="27"/>
      <c r="BXQ86" s="27"/>
      <c r="BXR86" s="27"/>
      <c r="BXS86" s="27"/>
      <c r="BXT86" s="27"/>
      <c r="BXU86" s="27"/>
      <c r="BXV86" s="27"/>
      <c r="BXW86" s="27"/>
      <c r="BXX86" s="27"/>
      <c r="BXY86" s="27"/>
      <c r="BXZ86" s="27"/>
      <c r="BYA86" s="27"/>
      <c r="BYB86" s="27"/>
      <c r="BYC86" s="27"/>
      <c r="BYD86" s="27"/>
      <c r="BYE86" s="27"/>
      <c r="BYF86" s="27"/>
      <c r="BYG86" s="27"/>
      <c r="BYH86" s="27"/>
      <c r="BYI86" s="27"/>
      <c r="BYJ86" s="27"/>
      <c r="BYK86" s="27"/>
      <c r="BYL86" s="27"/>
      <c r="BYM86" s="27"/>
      <c r="BYN86" s="27"/>
      <c r="BYO86" s="27"/>
      <c r="BYP86" s="27"/>
      <c r="BYQ86" s="27"/>
      <c r="BYR86" s="27"/>
      <c r="BYS86" s="27"/>
      <c r="BYT86" s="27"/>
      <c r="BYU86" s="27"/>
      <c r="BYV86" s="27"/>
      <c r="BYW86" s="27"/>
      <c r="BYX86" s="27"/>
      <c r="BYY86" s="27"/>
      <c r="BYZ86" s="27"/>
      <c r="BZA86" s="27"/>
      <c r="BZB86" s="27"/>
      <c r="BZC86" s="27"/>
      <c r="BZD86" s="27"/>
      <c r="BZE86" s="27"/>
      <c r="BZF86" s="27"/>
      <c r="BZG86" s="27"/>
      <c r="BZH86" s="27"/>
      <c r="BZI86" s="27"/>
      <c r="BZJ86" s="27"/>
      <c r="BZK86" s="27"/>
      <c r="BZL86" s="27"/>
      <c r="BZM86" s="27"/>
      <c r="BZN86" s="27"/>
      <c r="BZO86" s="27"/>
      <c r="BZP86" s="27"/>
      <c r="BZQ86" s="27"/>
      <c r="BZR86" s="27"/>
      <c r="BZS86" s="27"/>
      <c r="BZT86" s="27"/>
      <c r="BZU86" s="27"/>
      <c r="BZV86" s="27"/>
      <c r="BZW86" s="27"/>
      <c r="BZX86" s="27"/>
      <c r="BZY86" s="27"/>
      <c r="BZZ86" s="27"/>
      <c r="CAA86" s="27"/>
      <c r="CAB86" s="27"/>
      <c r="CAC86" s="27"/>
      <c r="CAD86" s="27"/>
      <c r="CAE86" s="27"/>
      <c r="CAF86" s="27"/>
      <c r="CAG86" s="27"/>
      <c r="CAH86" s="27"/>
      <c r="CAI86" s="27"/>
      <c r="CAJ86" s="27"/>
      <c r="CAK86" s="27"/>
      <c r="CAL86" s="27"/>
      <c r="CAM86" s="27"/>
      <c r="CAN86" s="27"/>
      <c r="CAO86" s="27"/>
      <c r="CAP86" s="27"/>
      <c r="CAQ86" s="27"/>
      <c r="CAR86" s="27"/>
      <c r="CAS86" s="27"/>
      <c r="CAT86" s="27"/>
      <c r="CAU86" s="27"/>
      <c r="CAV86" s="27"/>
      <c r="CAW86" s="27"/>
      <c r="CAX86" s="27"/>
      <c r="CAY86" s="27"/>
      <c r="CAZ86" s="27"/>
      <c r="CBA86" s="27"/>
      <c r="CBB86" s="27"/>
      <c r="CBC86" s="27"/>
      <c r="CBD86" s="27"/>
      <c r="CBE86" s="27"/>
      <c r="CBF86" s="27"/>
      <c r="CBG86" s="27"/>
      <c r="CBH86" s="27"/>
      <c r="CBI86" s="27"/>
      <c r="CBJ86" s="27"/>
      <c r="CBK86" s="27"/>
      <c r="CBL86" s="27"/>
      <c r="CBM86" s="27"/>
      <c r="CBN86" s="27"/>
      <c r="CBO86" s="27"/>
      <c r="CBP86" s="27"/>
      <c r="CBQ86" s="27"/>
      <c r="CBR86" s="27"/>
      <c r="CBS86" s="27"/>
      <c r="CBT86" s="27"/>
      <c r="CBU86" s="27"/>
      <c r="CBV86" s="27"/>
      <c r="CBW86" s="27"/>
      <c r="CBX86" s="27"/>
      <c r="CBY86" s="27"/>
      <c r="CBZ86" s="27"/>
      <c r="CCA86" s="27"/>
      <c r="CCB86" s="27"/>
      <c r="CCC86" s="27"/>
      <c r="CCD86" s="27"/>
      <c r="CCE86" s="27"/>
      <c r="CCF86" s="27"/>
      <c r="CCG86" s="27"/>
      <c r="CCH86" s="27"/>
      <c r="CCI86" s="27"/>
      <c r="CCJ86" s="27"/>
      <c r="CCK86" s="27"/>
      <c r="CCL86" s="27"/>
      <c r="CCM86" s="27"/>
      <c r="CCN86" s="27"/>
      <c r="CCO86" s="27"/>
      <c r="CCP86" s="27"/>
      <c r="CCQ86" s="27"/>
      <c r="CCR86" s="27"/>
      <c r="CCS86" s="27"/>
      <c r="CCT86" s="27"/>
      <c r="CCU86" s="27"/>
      <c r="CCV86" s="27"/>
      <c r="CCW86" s="27"/>
      <c r="CCX86" s="27"/>
      <c r="CCY86" s="27"/>
      <c r="CCZ86" s="27"/>
      <c r="CDA86" s="27"/>
      <c r="CDB86" s="27"/>
      <c r="CDC86" s="27"/>
      <c r="CDD86" s="27"/>
      <c r="CDE86" s="27"/>
      <c r="CDF86" s="27"/>
      <c r="CDG86" s="27"/>
      <c r="CDH86" s="27"/>
      <c r="CDI86" s="27"/>
      <c r="CDJ86" s="27"/>
      <c r="CDK86" s="27"/>
      <c r="CDL86" s="27"/>
      <c r="CDM86" s="27"/>
      <c r="CDN86" s="27"/>
      <c r="CDO86" s="27"/>
      <c r="CDP86" s="27"/>
      <c r="CDQ86" s="27"/>
      <c r="CDR86" s="27"/>
      <c r="CDS86" s="27"/>
      <c r="CDT86" s="27"/>
      <c r="CDU86" s="27"/>
      <c r="CDV86" s="27"/>
      <c r="CDW86" s="27"/>
      <c r="CDX86" s="27"/>
      <c r="CDY86" s="27"/>
      <c r="CDZ86" s="27"/>
      <c r="CEA86" s="27"/>
      <c r="CEB86" s="27"/>
      <c r="CEC86" s="27"/>
      <c r="CED86" s="27"/>
      <c r="CEE86" s="27"/>
      <c r="CEF86" s="27"/>
      <c r="CEG86" s="27"/>
      <c r="CEH86" s="27"/>
      <c r="CEI86" s="27"/>
      <c r="CEJ86" s="27"/>
      <c r="CEK86" s="27"/>
      <c r="CEL86" s="27"/>
      <c r="CEM86" s="27"/>
      <c r="CEN86" s="27"/>
      <c r="CEO86" s="27"/>
      <c r="CEP86" s="27"/>
      <c r="CEQ86" s="27"/>
      <c r="CER86" s="27"/>
      <c r="CES86" s="27"/>
      <c r="CET86" s="27"/>
      <c r="CEU86" s="27"/>
      <c r="CEV86" s="27"/>
      <c r="CEW86" s="27"/>
      <c r="CEX86" s="27"/>
      <c r="CEY86" s="27"/>
      <c r="CEZ86" s="27"/>
      <c r="CFA86" s="27"/>
      <c r="CFB86" s="27"/>
      <c r="CFC86" s="27"/>
      <c r="CFD86" s="27"/>
      <c r="CFE86" s="27"/>
      <c r="CFF86" s="27"/>
      <c r="CFG86" s="27"/>
      <c r="CFH86" s="27"/>
      <c r="CFI86" s="27"/>
      <c r="CFJ86" s="27"/>
      <c r="CFK86" s="27"/>
      <c r="CFL86" s="27"/>
      <c r="CFM86" s="27"/>
      <c r="CFN86" s="27"/>
      <c r="CFO86" s="27"/>
      <c r="CFP86" s="27"/>
      <c r="CFQ86" s="27"/>
      <c r="CFR86" s="27"/>
      <c r="CFS86" s="27"/>
      <c r="CFT86" s="27"/>
      <c r="CFU86" s="27"/>
      <c r="CFV86" s="27"/>
      <c r="CFW86" s="27"/>
      <c r="CFX86" s="27"/>
      <c r="CFY86" s="27"/>
      <c r="CFZ86" s="27"/>
      <c r="CGA86" s="27"/>
      <c r="CGB86" s="27"/>
      <c r="CGC86" s="27"/>
      <c r="CGD86" s="27"/>
      <c r="CGE86" s="27"/>
      <c r="CGF86" s="27"/>
      <c r="CGG86" s="27"/>
      <c r="CGH86" s="27"/>
      <c r="CGI86" s="27"/>
      <c r="CGJ86" s="27"/>
      <c r="CGK86" s="27"/>
      <c r="CGL86" s="27"/>
      <c r="CGM86" s="27"/>
      <c r="CGN86" s="27"/>
      <c r="CGO86" s="27"/>
      <c r="CGP86" s="27"/>
      <c r="CGQ86" s="27"/>
      <c r="CGR86" s="27"/>
      <c r="CGS86" s="27"/>
      <c r="CGT86" s="27"/>
      <c r="CGU86" s="27"/>
      <c r="CGV86" s="27"/>
      <c r="CGW86" s="27"/>
      <c r="CGX86" s="27"/>
      <c r="CGY86" s="27"/>
      <c r="CGZ86" s="27"/>
      <c r="CHA86" s="27"/>
      <c r="CHB86" s="27"/>
      <c r="CHC86" s="27"/>
      <c r="CHD86" s="27"/>
      <c r="CHE86" s="27"/>
      <c r="CHF86" s="27"/>
      <c r="CHG86" s="27"/>
      <c r="CHH86" s="27"/>
      <c r="CHI86" s="27"/>
      <c r="CHJ86" s="27"/>
      <c r="CHK86" s="27"/>
      <c r="CHL86" s="27"/>
      <c r="CHM86" s="27"/>
      <c r="CHN86" s="27"/>
      <c r="CHO86" s="27"/>
      <c r="CHP86" s="27"/>
      <c r="CHQ86" s="27"/>
      <c r="CHR86" s="27"/>
      <c r="CHS86" s="27"/>
      <c r="CHT86" s="27"/>
      <c r="CHU86" s="27"/>
      <c r="CHV86" s="27"/>
      <c r="CHW86" s="27"/>
      <c r="CHX86" s="27"/>
      <c r="CHY86" s="27"/>
      <c r="CHZ86" s="27"/>
      <c r="CIA86" s="27"/>
      <c r="CIB86" s="27"/>
      <c r="CIC86" s="27"/>
      <c r="CID86" s="27"/>
      <c r="CIE86" s="27"/>
      <c r="CIF86" s="27"/>
      <c r="CIG86" s="27"/>
      <c r="CIH86" s="27"/>
      <c r="CII86" s="27"/>
      <c r="CIJ86" s="27"/>
      <c r="CIK86" s="27"/>
      <c r="CIL86" s="27"/>
      <c r="CIM86" s="27"/>
      <c r="CIN86" s="27"/>
      <c r="CIO86" s="27"/>
      <c r="CIP86" s="27"/>
      <c r="CIQ86" s="27"/>
      <c r="CIR86" s="27"/>
      <c r="CIS86" s="27"/>
      <c r="CIT86" s="27"/>
      <c r="CIU86" s="27"/>
      <c r="CIV86" s="27"/>
      <c r="CIW86" s="27"/>
      <c r="CIX86" s="27"/>
      <c r="CIY86" s="27"/>
      <c r="CIZ86" s="27"/>
      <c r="CJA86" s="27"/>
      <c r="CJB86" s="27"/>
      <c r="CJC86" s="27"/>
      <c r="CJD86" s="27"/>
      <c r="CJE86" s="27"/>
      <c r="CJF86" s="27"/>
      <c r="CJG86" s="27"/>
      <c r="CJH86" s="27"/>
      <c r="CJI86" s="27"/>
      <c r="CJJ86" s="27"/>
      <c r="CJK86" s="27"/>
      <c r="CJL86" s="27"/>
      <c r="CJM86" s="27"/>
      <c r="CJN86" s="27"/>
      <c r="CJO86" s="27"/>
      <c r="CJP86" s="27"/>
      <c r="CJQ86" s="27"/>
      <c r="CJR86" s="27"/>
      <c r="CJS86" s="27"/>
      <c r="CJT86" s="27"/>
      <c r="CJU86" s="27"/>
      <c r="CJV86" s="27"/>
      <c r="CJW86" s="27"/>
      <c r="CJX86" s="27"/>
      <c r="CJY86" s="27"/>
      <c r="CJZ86" s="27"/>
      <c r="CKA86" s="27"/>
      <c r="CKB86" s="27"/>
      <c r="CKC86" s="27"/>
      <c r="CKD86" s="27"/>
      <c r="CKE86" s="27"/>
      <c r="CKF86" s="27"/>
      <c r="CKG86" s="27"/>
      <c r="CKH86" s="27"/>
      <c r="CKI86" s="27"/>
      <c r="CKJ86" s="27"/>
      <c r="CKK86" s="27"/>
      <c r="CKL86" s="27"/>
      <c r="CKM86" s="27"/>
      <c r="CKN86" s="27"/>
      <c r="CKO86" s="27"/>
      <c r="CKP86" s="27"/>
      <c r="CKQ86" s="27"/>
      <c r="CKR86" s="27"/>
      <c r="CKS86" s="27"/>
      <c r="CKT86" s="27"/>
      <c r="CKU86" s="27"/>
      <c r="CKV86" s="27"/>
      <c r="CKW86" s="27"/>
      <c r="CKX86" s="27"/>
      <c r="CKY86" s="27"/>
      <c r="CKZ86" s="27"/>
      <c r="CLA86" s="27"/>
      <c r="CLB86" s="27"/>
      <c r="CLC86" s="27"/>
      <c r="CLD86" s="27"/>
      <c r="CLE86" s="27"/>
      <c r="CLF86" s="27"/>
      <c r="CLG86" s="27"/>
      <c r="CLH86" s="27"/>
      <c r="CLI86" s="27"/>
      <c r="CLJ86" s="27"/>
      <c r="CLK86" s="27"/>
      <c r="CLL86" s="27"/>
      <c r="CLM86" s="27"/>
      <c r="CLN86" s="27"/>
      <c r="CLO86" s="27"/>
      <c r="CLP86" s="27"/>
      <c r="CLQ86" s="27"/>
      <c r="CLR86" s="27"/>
      <c r="CLS86" s="27"/>
      <c r="CLT86" s="27"/>
      <c r="CLU86" s="27"/>
      <c r="CLV86" s="27"/>
      <c r="CLW86" s="27"/>
      <c r="CLX86" s="27"/>
      <c r="CLY86" s="27"/>
      <c r="CLZ86" s="27"/>
      <c r="CMA86" s="27"/>
      <c r="CMB86" s="27"/>
      <c r="CMC86" s="27"/>
      <c r="CMD86" s="27"/>
      <c r="CME86" s="27"/>
      <c r="CMF86" s="27"/>
      <c r="CMG86" s="27"/>
      <c r="CMH86" s="27"/>
      <c r="CMI86" s="27"/>
      <c r="CMJ86" s="27"/>
      <c r="CMK86" s="27"/>
      <c r="CML86" s="27"/>
      <c r="CMM86" s="27"/>
      <c r="CMN86" s="27"/>
      <c r="CMO86" s="27"/>
      <c r="CMP86" s="27"/>
      <c r="CMQ86" s="27"/>
      <c r="CMR86" s="27"/>
      <c r="CMS86" s="27"/>
      <c r="CMT86" s="27"/>
      <c r="CMU86" s="27"/>
      <c r="CMV86" s="27"/>
      <c r="CMW86" s="27"/>
      <c r="CMX86" s="27"/>
      <c r="CMY86" s="27"/>
      <c r="CMZ86" s="27"/>
      <c r="CNA86" s="27"/>
      <c r="CNB86" s="27"/>
      <c r="CNC86" s="27"/>
      <c r="CND86" s="27"/>
      <c r="CNE86" s="27"/>
      <c r="CNF86" s="27"/>
      <c r="CNG86" s="27"/>
      <c r="CNH86" s="27"/>
      <c r="CNI86" s="27"/>
      <c r="CNJ86" s="27"/>
      <c r="CNK86" s="27"/>
      <c r="CNL86" s="27"/>
      <c r="CNM86" s="27"/>
      <c r="CNN86" s="27"/>
      <c r="CNO86" s="27"/>
      <c r="CNP86" s="27"/>
      <c r="CNQ86" s="27"/>
      <c r="CNR86" s="27"/>
      <c r="CNS86" s="27"/>
      <c r="CNT86" s="27"/>
      <c r="CNU86" s="27"/>
      <c r="CNV86" s="27"/>
      <c r="CNW86" s="27"/>
      <c r="CNX86" s="27"/>
      <c r="CNY86" s="27"/>
      <c r="CNZ86" s="27"/>
      <c r="COA86" s="27"/>
      <c r="COB86" s="27"/>
      <c r="COC86" s="27"/>
      <c r="COD86" s="27"/>
      <c r="COE86" s="27"/>
      <c r="COF86" s="27"/>
      <c r="COG86" s="27"/>
      <c r="COH86" s="27"/>
      <c r="COI86" s="27"/>
      <c r="COJ86" s="27"/>
      <c r="COK86" s="27"/>
      <c r="COL86" s="27"/>
      <c r="COM86" s="27"/>
      <c r="CON86" s="27"/>
      <c r="COO86" s="27"/>
      <c r="COP86" s="27"/>
      <c r="COQ86" s="27"/>
      <c r="COR86" s="27"/>
      <c r="COS86" s="27"/>
      <c r="COT86" s="27"/>
      <c r="COU86" s="27"/>
      <c r="COV86" s="27"/>
      <c r="COW86" s="27"/>
      <c r="COX86" s="27"/>
      <c r="COY86" s="27"/>
      <c r="COZ86" s="27"/>
      <c r="CPA86" s="27"/>
      <c r="CPB86" s="27"/>
      <c r="CPC86" s="27"/>
      <c r="CPD86" s="27"/>
      <c r="CPE86" s="27"/>
      <c r="CPF86" s="27"/>
      <c r="CPG86" s="27"/>
      <c r="CPH86" s="27"/>
      <c r="CPI86" s="27"/>
      <c r="CPJ86" s="27"/>
      <c r="CPK86" s="27"/>
      <c r="CPL86" s="27"/>
      <c r="CPM86" s="27"/>
      <c r="CPN86" s="27"/>
      <c r="CPO86" s="27"/>
      <c r="CPP86" s="27"/>
      <c r="CPQ86" s="27"/>
      <c r="CPR86" s="27"/>
      <c r="CPS86" s="27"/>
      <c r="CPT86" s="27"/>
      <c r="CPU86" s="27"/>
      <c r="CPV86" s="27"/>
      <c r="CPW86" s="27"/>
      <c r="CPX86" s="27"/>
      <c r="CPY86" s="27"/>
      <c r="CPZ86" s="27"/>
      <c r="CQA86" s="27"/>
      <c r="CQB86" s="27"/>
      <c r="CQC86" s="27"/>
      <c r="CQD86" s="27"/>
      <c r="CQE86" s="27"/>
      <c r="CQF86" s="27"/>
      <c r="CQG86" s="27"/>
      <c r="CQH86" s="27"/>
      <c r="CQI86" s="27"/>
      <c r="CQJ86" s="27"/>
      <c r="CQK86" s="27"/>
      <c r="CQL86" s="27"/>
      <c r="CQM86" s="27"/>
      <c r="CQN86" s="27"/>
      <c r="CQO86" s="27"/>
      <c r="CQP86" s="27"/>
      <c r="CQQ86" s="27"/>
      <c r="CQR86" s="27"/>
      <c r="CQS86" s="27"/>
      <c r="CQT86" s="27"/>
      <c r="CQU86" s="27"/>
      <c r="CQV86" s="27"/>
      <c r="CQW86" s="27"/>
      <c r="CQX86" s="27"/>
      <c r="CQY86" s="27"/>
      <c r="CQZ86" s="27"/>
      <c r="CRA86" s="27"/>
      <c r="CRB86" s="27"/>
      <c r="CRC86" s="27"/>
      <c r="CRD86" s="27"/>
      <c r="CRE86" s="27"/>
      <c r="CRF86" s="27"/>
      <c r="CRG86" s="27"/>
      <c r="CRH86" s="27"/>
      <c r="CRI86" s="27"/>
      <c r="CRJ86" s="27"/>
      <c r="CRK86" s="27"/>
      <c r="CRL86" s="27"/>
      <c r="CRM86" s="27"/>
      <c r="CRN86" s="27"/>
      <c r="CRO86" s="27"/>
      <c r="CRP86" s="27"/>
      <c r="CRQ86" s="27"/>
      <c r="CRR86" s="27"/>
      <c r="CRS86" s="27"/>
      <c r="CRT86" s="27"/>
      <c r="CRU86" s="27"/>
      <c r="CRV86" s="27"/>
      <c r="CRW86" s="27"/>
      <c r="CRX86" s="27"/>
      <c r="CRY86" s="27"/>
      <c r="CRZ86" s="27"/>
      <c r="CSA86" s="27"/>
      <c r="CSB86" s="27"/>
      <c r="CSC86" s="27"/>
      <c r="CSD86" s="27"/>
      <c r="CSE86" s="27"/>
      <c r="CSF86" s="27"/>
      <c r="CSG86" s="27"/>
      <c r="CSH86" s="27"/>
      <c r="CSI86" s="27"/>
      <c r="CSJ86" s="27"/>
      <c r="CSK86" s="27"/>
      <c r="CSL86" s="27"/>
      <c r="CSM86" s="27"/>
      <c r="CSN86" s="27"/>
      <c r="CSO86" s="27"/>
      <c r="CSP86" s="27"/>
      <c r="CSQ86" s="27"/>
      <c r="CSR86" s="27"/>
      <c r="CSS86" s="27"/>
      <c r="CST86" s="27"/>
      <c r="CSU86" s="27"/>
      <c r="CSV86" s="27"/>
      <c r="CSW86" s="27"/>
      <c r="CSX86" s="27"/>
      <c r="CSY86" s="27"/>
      <c r="CSZ86" s="27"/>
      <c r="CTA86" s="27"/>
      <c r="CTB86" s="27"/>
      <c r="CTC86" s="27"/>
      <c r="CTD86" s="27"/>
      <c r="CTE86" s="27"/>
      <c r="CTF86" s="27"/>
      <c r="CTG86" s="27"/>
      <c r="CTH86" s="27"/>
      <c r="CTI86" s="27"/>
      <c r="CTJ86" s="27"/>
      <c r="CTK86" s="27"/>
      <c r="CTL86" s="27"/>
      <c r="CTM86" s="27"/>
      <c r="CTN86" s="27"/>
      <c r="CTO86" s="27"/>
      <c r="CTP86" s="27"/>
      <c r="CTQ86" s="27"/>
      <c r="CTR86" s="27"/>
      <c r="CTS86" s="27"/>
      <c r="CTT86" s="27"/>
      <c r="CTU86" s="27"/>
      <c r="CTV86" s="27"/>
      <c r="CTW86" s="27"/>
      <c r="CTX86" s="27"/>
      <c r="CTY86" s="27"/>
      <c r="CTZ86" s="27"/>
      <c r="CUA86" s="27"/>
      <c r="CUB86" s="27"/>
      <c r="CUC86" s="27"/>
      <c r="CUD86" s="27"/>
      <c r="CUE86" s="27"/>
      <c r="CUF86" s="27"/>
      <c r="CUG86" s="27"/>
      <c r="CUH86" s="27"/>
      <c r="CUI86" s="27"/>
      <c r="CUJ86" s="27"/>
      <c r="CUK86" s="27"/>
      <c r="CUL86" s="27"/>
      <c r="CUM86" s="27"/>
      <c r="CUN86" s="27"/>
      <c r="CUO86" s="27"/>
      <c r="CUP86" s="27"/>
      <c r="CUQ86" s="27"/>
      <c r="CUR86" s="27"/>
      <c r="CUS86" s="27"/>
      <c r="CUT86" s="27"/>
      <c r="CUU86" s="27"/>
      <c r="CUV86" s="27"/>
      <c r="CUW86" s="27"/>
      <c r="CUX86" s="27"/>
      <c r="CUY86" s="27"/>
      <c r="CUZ86" s="27"/>
      <c r="CVA86" s="27"/>
      <c r="CVB86" s="27"/>
      <c r="CVC86" s="27"/>
      <c r="CVD86" s="27"/>
      <c r="CVE86" s="27"/>
      <c r="CVF86" s="27"/>
      <c r="CVG86" s="27"/>
      <c r="CVH86" s="27"/>
      <c r="CVI86" s="27"/>
      <c r="CVJ86" s="27"/>
      <c r="CVK86" s="27"/>
      <c r="CVL86" s="27"/>
      <c r="CVM86" s="27"/>
      <c r="CVN86" s="27"/>
      <c r="CVO86" s="27"/>
      <c r="CVP86" s="27"/>
      <c r="CVQ86" s="27"/>
      <c r="CVR86" s="27"/>
      <c r="CVS86" s="27"/>
      <c r="CVT86" s="27"/>
      <c r="CVU86" s="27"/>
      <c r="CVV86" s="27"/>
      <c r="CVW86" s="27"/>
      <c r="CVX86" s="27"/>
      <c r="CVY86" s="27"/>
      <c r="CVZ86" s="27"/>
      <c r="CWA86" s="27"/>
      <c r="CWB86" s="27"/>
      <c r="CWC86" s="27"/>
      <c r="CWD86" s="27"/>
      <c r="CWE86" s="27"/>
      <c r="CWF86" s="27"/>
      <c r="CWG86" s="27"/>
      <c r="CWH86" s="27"/>
      <c r="CWI86" s="27"/>
      <c r="CWJ86" s="27"/>
      <c r="CWK86" s="27"/>
      <c r="CWL86" s="27"/>
      <c r="CWM86" s="27"/>
      <c r="CWN86" s="27"/>
      <c r="CWO86" s="27"/>
      <c r="CWP86" s="27"/>
      <c r="CWQ86" s="27"/>
      <c r="CWR86" s="27"/>
      <c r="CWS86" s="27"/>
      <c r="CWT86" s="27"/>
      <c r="CWU86" s="27"/>
      <c r="CWV86" s="27"/>
      <c r="CWW86" s="27"/>
      <c r="CWX86" s="27"/>
      <c r="CWY86" s="27"/>
      <c r="CWZ86" s="27"/>
      <c r="CXA86" s="27"/>
      <c r="CXB86" s="27"/>
      <c r="CXC86" s="27"/>
      <c r="CXD86" s="27"/>
      <c r="CXE86" s="27"/>
      <c r="CXF86" s="27"/>
      <c r="CXG86" s="27"/>
      <c r="CXH86" s="27"/>
      <c r="CXI86" s="27"/>
      <c r="CXJ86" s="27"/>
      <c r="CXK86" s="27"/>
      <c r="CXL86" s="27"/>
      <c r="CXM86" s="27"/>
      <c r="CXN86" s="27"/>
      <c r="CXO86" s="27"/>
      <c r="CXP86" s="27"/>
      <c r="CXQ86" s="27"/>
      <c r="CXR86" s="27"/>
      <c r="CXS86" s="27"/>
      <c r="CXT86" s="27"/>
      <c r="CXU86" s="27"/>
      <c r="CXV86" s="27"/>
      <c r="CXW86" s="27"/>
      <c r="CXX86" s="27"/>
      <c r="CXY86" s="27"/>
      <c r="CXZ86" s="27"/>
      <c r="CYA86" s="27"/>
      <c r="CYB86" s="27"/>
      <c r="CYC86" s="27"/>
      <c r="CYD86" s="27"/>
      <c r="CYE86" s="27"/>
      <c r="CYF86" s="27"/>
      <c r="CYG86" s="27"/>
      <c r="CYH86" s="27"/>
      <c r="CYI86" s="27"/>
      <c r="CYJ86" s="27"/>
      <c r="CYK86" s="27"/>
      <c r="CYL86" s="27"/>
      <c r="CYM86" s="27"/>
      <c r="CYN86" s="27"/>
      <c r="CYO86" s="27"/>
      <c r="CYP86" s="27"/>
      <c r="CYQ86" s="27"/>
      <c r="CYR86" s="27"/>
      <c r="CYS86" s="27"/>
      <c r="CYT86" s="27"/>
      <c r="CYU86" s="27"/>
      <c r="CYV86" s="27"/>
      <c r="CYW86" s="27"/>
      <c r="CYX86" s="27"/>
      <c r="CYY86" s="27"/>
      <c r="CYZ86" s="27"/>
      <c r="CZA86" s="27"/>
      <c r="CZB86" s="27"/>
      <c r="CZC86" s="27"/>
      <c r="CZD86" s="27"/>
      <c r="CZE86" s="27"/>
      <c r="CZF86" s="27"/>
      <c r="CZG86" s="27"/>
      <c r="CZH86" s="27"/>
      <c r="CZI86" s="27"/>
      <c r="CZJ86" s="27"/>
      <c r="CZK86" s="27"/>
      <c r="CZL86" s="27"/>
      <c r="CZM86" s="27"/>
      <c r="CZN86" s="27"/>
      <c r="CZO86" s="27"/>
      <c r="CZP86" s="27"/>
      <c r="CZQ86" s="27"/>
      <c r="CZR86" s="27"/>
      <c r="CZS86" s="27"/>
      <c r="CZT86" s="27"/>
      <c r="CZU86" s="27"/>
      <c r="CZV86" s="27"/>
      <c r="CZW86" s="27"/>
      <c r="CZX86" s="27"/>
      <c r="CZY86" s="27"/>
      <c r="CZZ86" s="27"/>
      <c r="DAA86" s="27"/>
      <c r="DAB86" s="27"/>
      <c r="DAC86" s="27"/>
      <c r="DAD86" s="27"/>
      <c r="DAE86" s="27"/>
      <c r="DAF86" s="27"/>
      <c r="DAG86" s="27"/>
      <c r="DAH86" s="27"/>
      <c r="DAI86" s="27"/>
      <c r="DAJ86" s="27"/>
      <c r="DAK86" s="27"/>
      <c r="DAL86" s="27"/>
      <c r="DAM86" s="27"/>
      <c r="DAN86" s="27"/>
      <c r="DAO86" s="27"/>
      <c r="DAP86" s="27"/>
      <c r="DAQ86" s="27"/>
      <c r="DAR86" s="27"/>
      <c r="DAS86" s="27"/>
      <c r="DAT86" s="27"/>
      <c r="DAU86" s="27"/>
      <c r="DAV86" s="27"/>
      <c r="DAW86" s="27"/>
      <c r="DAX86" s="27"/>
      <c r="DAY86" s="27"/>
      <c r="DAZ86" s="27"/>
      <c r="DBA86" s="27"/>
      <c r="DBB86" s="27"/>
      <c r="DBC86" s="27"/>
      <c r="DBD86" s="27"/>
      <c r="DBE86" s="27"/>
      <c r="DBF86" s="27"/>
      <c r="DBG86" s="27"/>
      <c r="DBH86" s="27"/>
      <c r="DBI86" s="27"/>
      <c r="DBJ86" s="27"/>
      <c r="DBK86" s="27"/>
      <c r="DBL86" s="27"/>
      <c r="DBM86" s="27"/>
      <c r="DBN86" s="27"/>
      <c r="DBO86" s="27"/>
      <c r="DBP86" s="27"/>
      <c r="DBQ86" s="27"/>
      <c r="DBR86" s="27"/>
      <c r="DBS86" s="27"/>
      <c r="DBT86" s="27"/>
      <c r="DBU86" s="27"/>
      <c r="DBV86" s="27"/>
      <c r="DBW86" s="27"/>
      <c r="DBX86" s="27"/>
      <c r="DBY86" s="27"/>
      <c r="DBZ86" s="27"/>
      <c r="DCA86" s="27"/>
      <c r="DCB86" s="27"/>
      <c r="DCC86" s="27"/>
      <c r="DCD86" s="27"/>
      <c r="DCE86" s="27"/>
      <c r="DCF86" s="27"/>
      <c r="DCG86" s="27"/>
      <c r="DCH86" s="27"/>
      <c r="DCI86" s="27"/>
      <c r="DCJ86" s="27"/>
      <c r="DCK86" s="27"/>
      <c r="DCL86" s="27"/>
      <c r="DCM86" s="27"/>
      <c r="DCN86" s="27"/>
      <c r="DCO86" s="27"/>
      <c r="DCP86" s="27"/>
      <c r="DCQ86" s="27"/>
      <c r="DCR86" s="27"/>
      <c r="DCS86" s="27"/>
      <c r="DCT86" s="27"/>
      <c r="DCU86" s="27"/>
      <c r="DCV86" s="27"/>
      <c r="DCW86" s="27"/>
      <c r="DCX86" s="27"/>
      <c r="DCY86" s="27"/>
      <c r="DCZ86" s="27"/>
      <c r="DDA86" s="27"/>
      <c r="DDB86" s="27"/>
      <c r="DDC86" s="27"/>
      <c r="DDD86" s="27"/>
      <c r="DDE86" s="27"/>
      <c r="DDF86" s="27"/>
      <c r="DDG86" s="27"/>
      <c r="DDH86" s="27"/>
      <c r="DDI86" s="27"/>
      <c r="DDJ86" s="27"/>
      <c r="DDK86" s="27"/>
      <c r="DDL86" s="27"/>
      <c r="DDM86" s="27"/>
      <c r="DDN86" s="27"/>
      <c r="DDO86" s="27"/>
      <c r="DDP86" s="27"/>
      <c r="DDQ86" s="27"/>
      <c r="DDR86" s="27"/>
      <c r="DDS86" s="27"/>
      <c r="DDT86" s="27"/>
      <c r="DDU86" s="27"/>
      <c r="DDV86" s="27"/>
      <c r="DDW86" s="27"/>
      <c r="DDX86" s="27"/>
      <c r="DDY86" s="27"/>
      <c r="DDZ86" s="27"/>
      <c r="DEA86" s="27"/>
      <c r="DEB86" s="27"/>
      <c r="DEC86" s="27"/>
      <c r="DED86" s="27"/>
      <c r="DEE86" s="27"/>
      <c r="DEF86" s="27"/>
      <c r="DEG86" s="27"/>
      <c r="DEH86" s="27"/>
      <c r="DEI86" s="27"/>
      <c r="DEJ86" s="27"/>
      <c r="DEK86" s="27"/>
      <c r="DEL86" s="27"/>
      <c r="DEM86" s="27"/>
      <c r="DEN86" s="27"/>
      <c r="DEO86" s="27"/>
      <c r="DEP86" s="27"/>
      <c r="DEQ86" s="27"/>
      <c r="DER86" s="27"/>
      <c r="DES86" s="27"/>
      <c r="DET86" s="27"/>
      <c r="DEU86" s="27"/>
      <c r="DEV86" s="27"/>
      <c r="DEW86" s="27"/>
      <c r="DEX86" s="27"/>
      <c r="DEY86" s="27"/>
      <c r="DEZ86" s="27"/>
      <c r="DFA86" s="27"/>
      <c r="DFB86" s="27"/>
      <c r="DFC86" s="27"/>
      <c r="DFD86" s="27"/>
      <c r="DFE86" s="27"/>
      <c r="DFF86" s="27"/>
      <c r="DFG86" s="27"/>
      <c r="DFH86" s="27"/>
      <c r="DFI86" s="27"/>
      <c r="DFJ86" s="27"/>
      <c r="DFK86" s="27"/>
      <c r="DFL86" s="27"/>
      <c r="DFM86" s="27"/>
      <c r="DFN86" s="27"/>
      <c r="DFO86" s="27"/>
      <c r="DFP86" s="27"/>
      <c r="DFQ86" s="27"/>
      <c r="DFR86" s="27"/>
      <c r="DFS86" s="27"/>
      <c r="DFT86" s="27"/>
      <c r="DFU86" s="27"/>
      <c r="DFV86" s="27"/>
      <c r="DFW86" s="27"/>
      <c r="DFX86" s="27"/>
      <c r="DFY86" s="27"/>
      <c r="DFZ86" s="27"/>
      <c r="DGA86" s="27"/>
      <c r="DGB86" s="27"/>
      <c r="DGC86" s="27"/>
      <c r="DGD86" s="27"/>
      <c r="DGE86" s="27"/>
      <c r="DGF86" s="27"/>
      <c r="DGG86" s="27"/>
      <c r="DGH86" s="27"/>
      <c r="DGI86" s="27"/>
      <c r="DGJ86" s="27"/>
      <c r="DGK86" s="27"/>
      <c r="DGL86" s="27"/>
      <c r="DGM86" s="27"/>
      <c r="DGN86" s="27"/>
      <c r="DGO86" s="27"/>
      <c r="DGP86" s="27"/>
      <c r="DGQ86" s="27"/>
      <c r="DGR86" s="27"/>
      <c r="DGS86" s="27"/>
      <c r="DGT86" s="27"/>
      <c r="DGU86" s="27"/>
      <c r="DGV86" s="27"/>
      <c r="DGW86" s="27"/>
      <c r="DGX86" s="27"/>
      <c r="DGY86" s="27"/>
      <c r="DGZ86" s="27"/>
      <c r="DHA86" s="27"/>
      <c r="DHB86" s="27"/>
      <c r="DHC86" s="27"/>
      <c r="DHD86" s="27"/>
      <c r="DHE86" s="27"/>
      <c r="DHF86" s="27"/>
      <c r="DHG86" s="27"/>
      <c r="DHH86" s="27"/>
      <c r="DHI86" s="27"/>
      <c r="DHJ86" s="27"/>
      <c r="DHK86" s="27"/>
      <c r="DHL86" s="27"/>
      <c r="DHM86" s="27"/>
      <c r="DHN86" s="27"/>
      <c r="DHO86" s="27"/>
      <c r="DHP86" s="27"/>
      <c r="DHQ86" s="27"/>
      <c r="DHR86" s="27"/>
      <c r="DHS86" s="27"/>
      <c r="DHT86" s="27"/>
      <c r="DHU86" s="27"/>
      <c r="DHV86" s="27"/>
      <c r="DHW86" s="27"/>
      <c r="DHX86" s="27"/>
      <c r="DHY86" s="27"/>
      <c r="DHZ86" s="27"/>
      <c r="DIA86" s="27"/>
      <c r="DIB86" s="27"/>
      <c r="DIC86" s="27"/>
      <c r="DID86" s="27"/>
      <c r="DIE86" s="27"/>
      <c r="DIF86" s="27"/>
      <c r="DIG86" s="27"/>
      <c r="DIH86" s="27"/>
      <c r="DII86" s="27"/>
      <c r="DIJ86" s="27"/>
      <c r="DIK86" s="27"/>
      <c r="DIL86" s="27"/>
      <c r="DIM86" s="27"/>
      <c r="DIN86" s="27"/>
      <c r="DIO86" s="27"/>
      <c r="DIP86" s="27"/>
      <c r="DIQ86" s="27"/>
      <c r="DIR86" s="27"/>
      <c r="DIS86" s="27"/>
      <c r="DIT86" s="27"/>
      <c r="DIU86" s="27"/>
      <c r="DIV86" s="27"/>
      <c r="DIW86" s="27"/>
      <c r="DIX86" s="27"/>
      <c r="DIY86" s="27"/>
      <c r="DIZ86" s="27"/>
      <c r="DJA86" s="27"/>
      <c r="DJB86" s="27"/>
      <c r="DJC86" s="27"/>
      <c r="DJD86" s="27"/>
      <c r="DJE86" s="27"/>
      <c r="DJF86" s="27"/>
      <c r="DJG86" s="27"/>
      <c r="DJH86" s="27"/>
      <c r="DJI86" s="27"/>
      <c r="DJJ86" s="27"/>
      <c r="DJK86" s="27"/>
      <c r="DJL86" s="27"/>
      <c r="DJM86" s="27"/>
      <c r="DJN86" s="27"/>
      <c r="DJO86" s="27"/>
      <c r="DJP86" s="27"/>
      <c r="DJQ86" s="27"/>
      <c r="DJR86" s="27"/>
      <c r="DJS86" s="27"/>
      <c r="DJT86" s="27"/>
      <c r="DJU86" s="27"/>
      <c r="DJV86" s="27"/>
      <c r="DJW86" s="27"/>
      <c r="DJX86" s="27"/>
      <c r="DJY86" s="27"/>
      <c r="DJZ86" s="27"/>
      <c r="DKA86" s="27"/>
      <c r="DKB86" s="27"/>
      <c r="DKC86" s="27"/>
      <c r="DKD86" s="27"/>
      <c r="DKE86" s="27"/>
      <c r="DKF86" s="27"/>
      <c r="DKG86" s="27"/>
      <c r="DKH86" s="27"/>
      <c r="DKI86" s="27"/>
      <c r="DKJ86" s="27"/>
      <c r="DKK86" s="27"/>
      <c r="DKL86" s="27"/>
      <c r="DKM86" s="27"/>
      <c r="DKN86" s="27"/>
      <c r="DKO86" s="27"/>
      <c r="DKP86" s="27"/>
      <c r="DKQ86" s="27"/>
      <c r="DKR86" s="27"/>
      <c r="DKS86" s="27"/>
      <c r="DKT86" s="27"/>
      <c r="DKU86" s="27"/>
      <c r="DKV86" s="27"/>
      <c r="DKW86" s="27"/>
      <c r="DKX86" s="27"/>
      <c r="DKY86" s="27"/>
      <c r="DKZ86" s="27"/>
      <c r="DLA86" s="27"/>
      <c r="DLB86" s="27"/>
      <c r="DLC86" s="27"/>
      <c r="DLD86" s="27"/>
      <c r="DLE86" s="27"/>
      <c r="DLF86" s="27"/>
      <c r="DLG86" s="27"/>
      <c r="DLH86" s="27"/>
      <c r="DLI86" s="27"/>
      <c r="DLJ86" s="27"/>
      <c r="DLK86" s="27"/>
      <c r="DLL86" s="27"/>
      <c r="DLM86" s="27"/>
      <c r="DLN86" s="27"/>
      <c r="DLO86" s="27"/>
      <c r="DLP86" s="27"/>
      <c r="DLQ86" s="27"/>
      <c r="DLR86" s="27"/>
      <c r="DLS86" s="27"/>
      <c r="DLT86" s="27"/>
      <c r="DLU86" s="27"/>
      <c r="DLV86" s="27"/>
      <c r="DLW86" s="27"/>
      <c r="DLX86" s="27"/>
      <c r="DLY86" s="27"/>
      <c r="DLZ86" s="27"/>
      <c r="DMA86" s="27"/>
      <c r="DMB86" s="27"/>
      <c r="DMC86" s="27"/>
      <c r="DMD86" s="27"/>
      <c r="DME86" s="27"/>
      <c r="DMF86" s="27"/>
      <c r="DMG86" s="27"/>
      <c r="DMH86" s="27"/>
      <c r="DMI86" s="27"/>
      <c r="DMJ86" s="27"/>
      <c r="DMK86" s="27"/>
      <c r="DML86" s="27"/>
      <c r="DMM86" s="27"/>
      <c r="DMN86" s="27"/>
      <c r="DMO86" s="27"/>
      <c r="DMP86" s="27"/>
      <c r="DMQ86" s="27"/>
      <c r="DMR86" s="27"/>
      <c r="DMS86" s="27"/>
      <c r="DMT86" s="27"/>
      <c r="DMU86" s="27"/>
      <c r="DMV86" s="27"/>
      <c r="DMW86" s="27"/>
      <c r="DMX86" s="27"/>
      <c r="DMY86" s="27"/>
      <c r="DMZ86" s="27"/>
      <c r="DNA86" s="27"/>
      <c r="DNB86" s="27"/>
      <c r="DNC86" s="27"/>
      <c r="DND86" s="27"/>
      <c r="DNE86" s="27"/>
      <c r="DNF86" s="27"/>
      <c r="DNG86" s="27"/>
      <c r="DNH86" s="27"/>
      <c r="DNI86" s="27"/>
      <c r="DNJ86" s="27"/>
      <c r="DNK86" s="27"/>
      <c r="DNL86" s="27"/>
      <c r="DNM86" s="27"/>
      <c r="DNN86" s="27"/>
      <c r="DNO86" s="27"/>
      <c r="DNP86" s="27"/>
      <c r="DNQ86" s="27"/>
      <c r="DNR86" s="27"/>
      <c r="DNS86" s="27"/>
      <c r="DNT86" s="27"/>
      <c r="DNU86" s="27"/>
      <c r="DNV86" s="27"/>
      <c r="DNW86" s="27"/>
      <c r="DNX86" s="27"/>
      <c r="DNY86" s="27"/>
      <c r="DNZ86" s="27"/>
      <c r="DOA86" s="27"/>
      <c r="DOB86" s="27"/>
      <c r="DOC86" s="27"/>
      <c r="DOD86" s="27"/>
      <c r="DOE86" s="27"/>
      <c r="DOF86" s="27"/>
      <c r="DOG86" s="27"/>
      <c r="DOH86" s="27"/>
      <c r="DOI86" s="27"/>
      <c r="DOJ86" s="27"/>
      <c r="DOK86" s="27"/>
      <c r="DOL86" s="27"/>
      <c r="DOM86" s="27"/>
      <c r="DON86" s="27"/>
      <c r="DOO86" s="27"/>
      <c r="DOP86" s="27"/>
      <c r="DOQ86" s="27"/>
      <c r="DOR86" s="27"/>
      <c r="DOS86" s="27"/>
      <c r="DOT86" s="27"/>
      <c r="DOU86" s="27"/>
      <c r="DOV86" s="27"/>
      <c r="DOW86" s="27"/>
      <c r="DOX86" s="27"/>
      <c r="DOY86" s="27"/>
      <c r="DOZ86" s="27"/>
      <c r="DPA86" s="27"/>
      <c r="DPB86" s="27"/>
      <c r="DPC86" s="27"/>
      <c r="DPD86" s="27"/>
      <c r="DPE86" s="27"/>
      <c r="DPF86" s="27"/>
      <c r="DPG86" s="27"/>
      <c r="DPH86" s="27"/>
      <c r="DPI86" s="27"/>
      <c r="DPJ86" s="27"/>
      <c r="DPK86" s="27"/>
      <c r="DPL86" s="27"/>
      <c r="DPM86" s="27"/>
      <c r="DPN86" s="27"/>
      <c r="DPO86" s="27"/>
      <c r="DPP86" s="27"/>
      <c r="DPQ86" s="27"/>
      <c r="DPR86" s="27"/>
      <c r="DPS86" s="27"/>
      <c r="DPT86" s="27"/>
      <c r="DPU86" s="27"/>
      <c r="DPV86" s="27"/>
      <c r="DPW86" s="27"/>
      <c r="DPX86" s="27"/>
      <c r="DPY86" s="27"/>
      <c r="DPZ86" s="27"/>
      <c r="DQA86" s="27"/>
      <c r="DQB86" s="27"/>
      <c r="DQC86" s="27"/>
      <c r="DQD86" s="27"/>
      <c r="DQE86" s="27"/>
      <c r="DQF86" s="27"/>
      <c r="DQG86" s="27"/>
      <c r="DQH86" s="27"/>
      <c r="DQI86" s="27"/>
      <c r="DQJ86" s="27"/>
      <c r="DQK86" s="27"/>
      <c r="DQL86" s="27"/>
      <c r="DQM86" s="27"/>
      <c r="DQN86" s="27"/>
      <c r="DQO86" s="27"/>
      <c r="DQP86" s="27"/>
      <c r="DQQ86" s="27"/>
      <c r="DQR86" s="27"/>
      <c r="DQS86" s="27"/>
      <c r="DQT86" s="27"/>
      <c r="DQU86" s="27"/>
      <c r="DQV86" s="27"/>
      <c r="DQW86" s="27"/>
      <c r="DQX86" s="27"/>
      <c r="DQY86" s="27"/>
      <c r="DQZ86" s="27"/>
      <c r="DRA86" s="27"/>
      <c r="DRB86" s="27"/>
      <c r="DRC86" s="27"/>
      <c r="DRD86" s="27"/>
      <c r="DRE86" s="27"/>
      <c r="DRF86" s="27"/>
      <c r="DRG86" s="27"/>
      <c r="DRH86" s="27"/>
      <c r="DRI86" s="27"/>
      <c r="DRJ86" s="27"/>
      <c r="DRK86" s="27"/>
      <c r="DRL86" s="27"/>
      <c r="DRM86" s="27"/>
      <c r="DRN86" s="27"/>
      <c r="DRO86" s="27"/>
      <c r="DRP86" s="27"/>
      <c r="DRQ86" s="27"/>
      <c r="DRR86" s="27"/>
      <c r="DRS86" s="27"/>
      <c r="DRT86" s="27"/>
      <c r="DRU86" s="27"/>
      <c r="DRV86" s="27"/>
      <c r="DRW86" s="27"/>
      <c r="DRX86" s="27"/>
      <c r="DRY86" s="27"/>
      <c r="DRZ86" s="27"/>
      <c r="DSA86" s="27"/>
      <c r="DSB86" s="27"/>
      <c r="DSC86" s="27"/>
      <c r="DSD86" s="27"/>
      <c r="DSE86" s="27"/>
      <c r="DSF86" s="27"/>
      <c r="DSG86" s="27"/>
      <c r="DSH86" s="27"/>
      <c r="DSI86" s="27"/>
      <c r="DSJ86" s="27"/>
      <c r="DSK86" s="27"/>
      <c r="DSL86" s="27"/>
      <c r="DSM86" s="27"/>
      <c r="DSN86" s="27"/>
      <c r="DSO86" s="27"/>
      <c r="DSP86" s="27"/>
      <c r="DSQ86" s="27"/>
      <c r="DSR86" s="27"/>
      <c r="DSS86" s="27"/>
      <c r="DST86" s="27"/>
      <c r="DSU86" s="27"/>
      <c r="DSV86" s="27"/>
      <c r="DSW86" s="27"/>
      <c r="DSX86" s="27"/>
      <c r="DSY86" s="27"/>
      <c r="DSZ86" s="27"/>
      <c r="DTA86" s="27"/>
      <c r="DTB86" s="27"/>
      <c r="DTC86" s="27"/>
      <c r="DTD86" s="27"/>
      <c r="DTE86" s="27"/>
      <c r="DTF86" s="27"/>
      <c r="DTG86" s="27"/>
      <c r="DTH86" s="27"/>
      <c r="DTI86" s="27"/>
      <c r="DTJ86" s="27"/>
      <c r="DTK86" s="27"/>
      <c r="DTL86" s="27"/>
      <c r="DTM86" s="27"/>
      <c r="DTN86" s="27"/>
      <c r="DTO86" s="27"/>
      <c r="DTP86" s="27"/>
      <c r="DTQ86" s="27"/>
      <c r="DTR86" s="27"/>
      <c r="DTS86" s="27"/>
      <c r="DTT86" s="27"/>
      <c r="DTU86" s="27"/>
      <c r="DTV86" s="27"/>
      <c r="DTW86" s="27"/>
      <c r="DTX86" s="27"/>
      <c r="DTY86" s="27"/>
      <c r="DTZ86" s="27"/>
      <c r="DUA86" s="27"/>
      <c r="DUB86" s="27"/>
      <c r="DUC86" s="27"/>
      <c r="DUD86" s="27"/>
      <c r="DUE86" s="27"/>
      <c r="DUF86" s="27"/>
      <c r="DUG86" s="27"/>
      <c r="DUH86" s="27"/>
      <c r="DUI86" s="27"/>
      <c r="DUJ86" s="27"/>
      <c r="DUK86" s="27"/>
      <c r="DUL86" s="27"/>
      <c r="DUM86" s="27"/>
      <c r="DUN86" s="27"/>
      <c r="DUO86" s="27"/>
      <c r="DUP86" s="27"/>
      <c r="DUQ86" s="27"/>
      <c r="DUR86" s="27"/>
      <c r="DUS86" s="27"/>
      <c r="DUT86" s="27"/>
      <c r="DUU86" s="27"/>
      <c r="DUV86" s="27"/>
      <c r="DUW86" s="27"/>
      <c r="DUX86" s="27"/>
      <c r="DUY86" s="27"/>
      <c r="DUZ86" s="27"/>
      <c r="DVA86" s="27"/>
      <c r="DVB86" s="27"/>
      <c r="DVC86" s="27"/>
      <c r="DVD86" s="27"/>
      <c r="DVE86" s="27"/>
      <c r="DVF86" s="27"/>
      <c r="DVG86" s="27"/>
      <c r="DVH86" s="27"/>
      <c r="DVI86" s="27"/>
      <c r="DVJ86" s="27"/>
      <c r="DVK86" s="27"/>
      <c r="DVL86" s="27"/>
      <c r="DVM86" s="27"/>
      <c r="DVN86" s="27"/>
      <c r="DVO86" s="27"/>
      <c r="DVP86" s="27"/>
      <c r="DVQ86" s="27"/>
      <c r="DVR86" s="27"/>
      <c r="DVS86" s="27"/>
      <c r="DVT86" s="27"/>
      <c r="DVU86" s="27"/>
      <c r="DVV86" s="27"/>
      <c r="DVW86" s="27"/>
      <c r="DVX86" s="27"/>
      <c r="DVY86" s="27"/>
      <c r="DVZ86" s="27"/>
      <c r="DWA86" s="27"/>
      <c r="DWB86" s="27"/>
      <c r="DWC86" s="27"/>
      <c r="DWD86" s="27"/>
      <c r="DWE86" s="27"/>
      <c r="DWF86" s="27"/>
      <c r="DWG86" s="27"/>
      <c r="DWH86" s="27"/>
      <c r="DWI86" s="27"/>
      <c r="DWJ86" s="27"/>
      <c r="DWK86" s="27"/>
      <c r="DWL86" s="27"/>
      <c r="DWM86" s="27"/>
      <c r="DWN86" s="27"/>
      <c r="DWO86" s="27"/>
      <c r="DWP86" s="27"/>
      <c r="DWQ86" s="27"/>
      <c r="DWR86" s="27"/>
      <c r="DWS86" s="27"/>
      <c r="DWT86" s="27"/>
      <c r="DWU86" s="27"/>
      <c r="DWV86" s="27"/>
      <c r="DWW86" s="27"/>
      <c r="DWX86" s="27"/>
      <c r="DWY86" s="27"/>
      <c r="DWZ86" s="27"/>
      <c r="DXA86" s="27"/>
      <c r="DXB86" s="27"/>
      <c r="DXC86" s="27"/>
      <c r="DXD86" s="27"/>
      <c r="DXE86" s="27"/>
      <c r="DXF86" s="27"/>
      <c r="DXG86" s="27"/>
      <c r="DXH86" s="27"/>
      <c r="DXI86" s="27"/>
      <c r="DXJ86" s="27"/>
      <c r="DXK86" s="27"/>
      <c r="DXL86" s="27"/>
      <c r="DXM86" s="27"/>
      <c r="DXN86" s="27"/>
      <c r="DXO86" s="27"/>
      <c r="DXP86" s="27"/>
      <c r="DXQ86" s="27"/>
      <c r="DXR86" s="27"/>
      <c r="DXS86" s="27"/>
      <c r="DXT86" s="27"/>
      <c r="DXU86" s="27"/>
      <c r="DXV86" s="27"/>
      <c r="DXW86" s="27"/>
      <c r="DXX86" s="27"/>
      <c r="DXY86" s="27"/>
      <c r="DXZ86" s="27"/>
      <c r="DYA86" s="27"/>
      <c r="DYB86" s="27"/>
      <c r="DYC86" s="27"/>
      <c r="DYD86" s="27"/>
      <c r="DYE86" s="27"/>
      <c r="DYF86" s="27"/>
      <c r="DYG86" s="27"/>
      <c r="DYH86" s="27"/>
      <c r="DYI86" s="27"/>
      <c r="DYJ86" s="27"/>
      <c r="DYK86" s="27"/>
      <c r="DYL86" s="27"/>
      <c r="DYM86" s="27"/>
      <c r="DYN86" s="27"/>
      <c r="DYO86" s="27"/>
      <c r="DYP86" s="27"/>
      <c r="DYQ86" s="27"/>
      <c r="DYR86" s="27"/>
      <c r="DYS86" s="27"/>
      <c r="DYT86" s="27"/>
      <c r="DYU86" s="27"/>
      <c r="DYV86" s="27"/>
      <c r="DYW86" s="27"/>
      <c r="DYX86" s="27"/>
      <c r="DYY86" s="27"/>
      <c r="DYZ86" s="27"/>
      <c r="DZA86" s="27"/>
      <c r="DZB86" s="27"/>
      <c r="DZC86" s="27"/>
      <c r="DZD86" s="27"/>
      <c r="DZE86" s="27"/>
      <c r="DZF86" s="27"/>
      <c r="DZG86" s="27"/>
      <c r="DZH86" s="27"/>
      <c r="DZI86" s="27"/>
      <c r="DZJ86" s="27"/>
      <c r="DZK86" s="27"/>
      <c r="DZL86" s="27"/>
      <c r="DZM86" s="27"/>
      <c r="DZN86" s="27"/>
      <c r="DZO86" s="27"/>
      <c r="DZP86" s="27"/>
      <c r="DZQ86" s="27"/>
      <c r="DZR86" s="27"/>
      <c r="DZS86" s="27"/>
      <c r="DZT86" s="27"/>
      <c r="DZU86" s="27"/>
      <c r="DZV86" s="27"/>
      <c r="DZW86" s="27"/>
      <c r="DZX86" s="27"/>
      <c r="DZY86" s="27"/>
      <c r="DZZ86" s="27"/>
      <c r="EAA86" s="27"/>
      <c r="EAB86" s="27"/>
      <c r="EAC86" s="27"/>
      <c r="EAD86" s="27"/>
      <c r="EAE86" s="27"/>
      <c r="EAF86" s="27"/>
      <c r="EAG86" s="27"/>
      <c r="EAH86" s="27"/>
      <c r="EAI86" s="27"/>
      <c r="EAJ86" s="27"/>
      <c r="EAK86" s="27"/>
      <c r="EAL86" s="27"/>
      <c r="EAM86" s="27"/>
      <c r="EAN86" s="27"/>
      <c r="EAO86" s="27"/>
      <c r="EAP86" s="27"/>
      <c r="EAQ86" s="27"/>
      <c r="EAR86" s="27"/>
      <c r="EAS86" s="27"/>
      <c r="EAT86" s="27"/>
      <c r="EAU86" s="27"/>
      <c r="EAV86" s="27"/>
      <c r="EAW86" s="27"/>
      <c r="EAX86" s="27"/>
      <c r="EAY86" s="27"/>
      <c r="EAZ86" s="27"/>
      <c r="EBA86" s="27"/>
      <c r="EBB86" s="27"/>
      <c r="EBC86" s="27"/>
      <c r="EBD86" s="27"/>
      <c r="EBE86" s="27"/>
      <c r="EBF86" s="27"/>
      <c r="EBG86" s="27"/>
      <c r="EBH86" s="27"/>
      <c r="EBI86" s="27"/>
      <c r="EBJ86" s="27"/>
      <c r="EBK86" s="27"/>
      <c r="EBL86" s="27"/>
      <c r="EBM86" s="27"/>
      <c r="EBN86" s="27"/>
      <c r="EBO86" s="27"/>
      <c r="EBP86" s="27"/>
      <c r="EBQ86" s="27"/>
      <c r="EBR86" s="27"/>
      <c r="EBS86" s="27"/>
      <c r="EBT86" s="27"/>
      <c r="EBU86" s="27"/>
      <c r="EBV86" s="27"/>
      <c r="EBW86" s="27"/>
      <c r="EBX86" s="27"/>
      <c r="EBY86" s="27"/>
      <c r="EBZ86" s="27"/>
      <c r="ECA86" s="27"/>
      <c r="ECB86" s="27"/>
      <c r="ECC86" s="27"/>
      <c r="ECD86" s="27"/>
      <c r="ECE86" s="27"/>
      <c r="ECF86" s="27"/>
      <c r="ECG86" s="27"/>
      <c r="ECH86" s="27"/>
      <c r="ECI86" s="27"/>
      <c r="ECJ86" s="27"/>
      <c r="ECK86" s="27"/>
      <c r="ECL86" s="27"/>
      <c r="ECM86" s="27"/>
      <c r="ECN86" s="27"/>
      <c r="ECO86" s="27"/>
      <c r="ECP86" s="27"/>
      <c r="ECQ86" s="27"/>
      <c r="ECR86" s="27"/>
      <c r="ECS86" s="27"/>
      <c r="ECT86" s="27"/>
      <c r="ECU86" s="27"/>
      <c r="ECV86" s="27"/>
      <c r="ECW86" s="27"/>
      <c r="ECX86" s="27"/>
      <c r="ECY86" s="27"/>
      <c r="ECZ86" s="27"/>
      <c r="EDA86" s="27"/>
      <c r="EDB86" s="27"/>
      <c r="EDC86" s="27"/>
      <c r="EDD86" s="27"/>
      <c r="EDE86" s="27"/>
      <c r="EDF86" s="27"/>
      <c r="EDG86" s="27"/>
      <c r="EDH86" s="27"/>
      <c r="EDI86" s="27"/>
      <c r="EDJ86" s="27"/>
      <c r="EDK86" s="27"/>
      <c r="EDL86" s="27"/>
      <c r="EDM86" s="27"/>
      <c r="EDN86" s="27"/>
      <c r="EDO86" s="27"/>
      <c r="EDP86" s="27"/>
      <c r="EDQ86" s="27"/>
      <c r="EDR86" s="27"/>
      <c r="EDS86" s="27"/>
      <c r="EDT86" s="27"/>
      <c r="EDU86" s="27"/>
      <c r="EDV86" s="27"/>
      <c r="EDW86" s="27"/>
      <c r="EDX86" s="27"/>
      <c r="EDY86" s="27"/>
      <c r="EDZ86" s="27"/>
      <c r="EEA86" s="27"/>
      <c r="EEB86" s="27"/>
      <c r="EEC86" s="27"/>
      <c r="EED86" s="27"/>
      <c r="EEE86" s="27"/>
      <c r="EEF86" s="27"/>
      <c r="EEG86" s="27"/>
      <c r="EEH86" s="27"/>
      <c r="EEI86" s="27"/>
      <c r="EEJ86" s="27"/>
      <c r="EEK86" s="27"/>
      <c r="EEL86" s="27"/>
      <c r="EEM86" s="27"/>
      <c r="EEN86" s="27"/>
      <c r="EEO86" s="27"/>
      <c r="EEP86" s="27"/>
      <c r="EEQ86" s="27"/>
      <c r="EER86" s="27"/>
      <c r="EES86" s="27"/>
      <c r="EET86" s="27"/>
      <c r="EEU86" s="27"/>
      <c r="EEV86" s="27"/>
      <c r="EEW86" s="27"/>
      <c r="EEX86" s="27"/>
      <c r="EEY86" s="27"/>
      <c r="EEZ86" s="27"/>
      <c r="EFA86" s="27"/>
      <c r="EFB86" s="27"/>
      <c r="EFC86" s="27"/>
      <c r="EFD86" s="27"/>
      <c r="EFE86" s="27"/>
      <c r="EFF86" s="27"/>
      <c r="EFG86" s="27"/>
      <c r="EFH86" s="27"/>
      <c r="EFI86" s="27"/>
      <c r="EFJ86" s="27"/>
      <c r="EFK86" s="27"/>
      <c r="EFL86" s="27"/>
      <c r="EFM86" s="27"/>
      <c r="EFN86" s="27"/>
      <c r="EFO86" s="27"/>
      <c r="EFP86" s="27"/>
      <c r="EFQ86" s="27"/>
      <c r="EFR86" s="27"/>
      <c r="EFS86" s="27"/>
      <c r="EFT86" s="27"/>
      <c r="EFU86" s="27"/>
      <c r="EFV86" s="27"/>
      <c r="EFW86" s="27"/>
      <c r="EFX86" s="27"/>
      <c r="EFY86" s="27"/>
      <c r="EFZ86" s="27"/>
      <c r="EGA86" s="27"/>
      <c r="EGB86" s="27"/>
      <c r="EGC86" s="27"/>
      <c r="EGD86" s="27"/>
      <c r="EGE86" s="27"/>
      <c r="EGF86" s="27"/>
      <c r="EGG86" s="27"/>
      <c r="EGH86" s="27"/>
      <c r="EGI86" s="27"/>
      <c r="EGJ86" s="27"/>
      <c r="EGK86" s="27"/>
      <c r="EGL86" s="27"/>
      <c r="EGM86" s="27"/>
      <c r="EGN86" s="27"/>
      <c r="EGO86" s="27"/>
      <c r="EGP86" s="27"/>
      <c r="EGQ86" s="27"/>
      <c r="EGR86" s="27"/>
      <c r="EGS86" s="27"/>
      <c r="EGT86" s="27"/>
      <c r="EGU86" s="27"/>
      <c r="EGV86" s="27"/>
      <c r="EGW86" s="27"/>
      <c r="EGX86" s="27"/>
      <c r="EGY86" s="27"/>
      <c r="EGZ86" s="27"/>
      <c r="EHA86" s="27"/>
      <c r="EHB86" s="27"/>
      <c r="EHC86" s="27"/>
      <c r="EHD86" s="27"/>
      <c r="EHE86" s="27"/>
      <c r="EHF86" s="27"/>
      <c r="EHG86" s="27"/>
      <c r="EHH86" s="27"/>
      <c r="EHI86" s="27"/>
      <c r="EHJ86" s="27"/>
      <c r="EHK86" s="27"/>
      <c r="EHL86" s="27"/>
      <c r="EHM86" s="27"/>
      <c r="EHN86" s="27"/>
      <c r="EHO86" s="27"/>
      <c r="EHP86" s="27"/>
      <c r="EHQ86" s="27"/>
      <c r="EHR86" s="27"/>
      <c r="EHS86" s="27"/>
      <c r="EHT86" s="27"/>
      <c r="EHU86" s="27"/>
      <c r="EHV86" s="27"/>
      <c r="EHW86" s="27"/>
      <c r="EHX86" s="27"/>
      <c r="EHY86" s="27"/>
      <c r="EHZ86" s="27"/>
      <c r="EIA86" s="27"/>
      <c r="EIB86" s="27"/>
      <c r="EIC86" s="27"/>
      <c r="EID86" s="27"/>
      <c r="EIE86" s="27"/>
      <c r="EIF86" s="27"/>
      <c r="EIG86" s="27"/>
      <c r="EIH86" s="27"/>
      <c r="EII86" s="27"/>
      <c r="EIJ86" s="27"/>
      <c r="EIK86" s="27"/>
      <c r="EIL86" s="27"/>
      <c r="EIM86" s="27"/>
      <c r="EIN86" s="27"/>
      <c r="EIO86" s="27"/>
      <c r="EIP86" s="27"/>
      <c r="EIQ86" s="27"/>
      <c r="EIR86" s="27"/>
      <c r="EIS86" s="27"/>
      <c r="EIT86" s="27"/>
      <c r="EIU86" s="27"/>
      <c r="EIV86" s="27"/>
      <c r="EIW86" s="27"/>
      <c r="EIX86" s="27"/>
      <c r="EIY86" s="27"/>
      <c r="EIZ86" s="27"/>
      <c r="EJA86" s="27"/>
      <c r="EJB86" s="27"/>
      <c r="EJC86" s="27"/>
      <c r="EJD86" s="27"/>
      <c r="EJE86" s="27"/>
      <c r="EJF86" s="27"/>
      <c r="EJG86" s="27"/>
      <c r="EJH86" s="27"/>
      <c r="EJI86" s="27"/>
      <c r="EJJ86" s="27"/>
      <c r="EJK86" s="27"/>
      <c r="EJL86" s="27"/>
      <c r="EJM86" s="27"/>
      <c r="EJN86" s="27"/>
      <c r="EJO86" s="27"/>
      <c r="EJP86" s="27"/>
      <c r="EJQ86" s="27"/>
      <c r="EJR86" s="27"/>
      <c r="EJS86" s="27"/>
      <c r="EJT86" s="27"/>
      <c r="EJU86" s="27"/>
      <c r="EJV86" s="27"/>
      <c r="EJW86" s="27"/>
      <c r="EJX86" s="27"/>
      <c r="EJY86" s="27"/>
      <c r="EJZ86" s="27"/>
      <c r="EKA86" s="27"/>
      <c r="EKB86" s="27"/>
      <c r="EKC86" s="27"/>
      <c r="EKD86" s="27"/>
      <c r="EKE86" s="27"/>
      <c r="EKF86" s="27"/>
      <c r="EKG86" s="27"/>
      <c r="EKH86" s="27"/>
      <c r="EKI86" s="27"/>
      <c r="EKJ86" s="27"/>
      <c r="EKK86" s="27"/>
      <c r="EKL86" s="27"/>
      <c r="EKM86" s="27"/>
      <c r="EKN86" s="27"/>
      <c r="EKO86" s="27"/>
      <c r="EKP86" s="27"/>
      <c r="EKQ86" s="27"/>
      <c r="EKR86" s="27"/>
      <c r="EKS86" s="27"/>
      <c r="EKT86" s="27"/>
      <c r="EKU86" s="27"/>
      <c r="EKV86" s="27"/>
      <c r="EKW86" s="27"/>
      <c r="EKX86" s="27"/>
      <c r="EKY86" s="27"/>
      <c r="EKZ86" s="27"/>
      <c r="ELA86" s="27"/>
      <c r="ELB86" s="27"/>
      <c r="ELC86" s="27"/>
      <c r="ELD86" s="27"/>
      <c r="ELE86" s="27"/>
      <c r="ELF86" s="27"/>
      <c r="ELG86" s="27"/>
      <c r="ELH86" s="27"/>
      <c r="ELI86" s="27"/>
      <c r="ELJ86" s="27"/>
      <c r="ELK86" s="27"/>
      <c r="ELL86" s="27"/>
      <c r="ELM86" s="27"/>
      <c r="ELN86" s="27"/>
      <c r="ELO86" s="27"/>
      <c r="ELP86" s="27"/>
      <c r="ELQ86" s="27"/>
      <c r="ELR86" s="27"/>
      <c r="ELS86" s="27"/>
      <c r="ELT86" s="27"/>
      <c r="ELU86" s="27"/>
      <c r="ELV86" s="27"/>
      <c r="ELW86" s="27"/>
      <c r="ELX86" s="27"/>
      <c r="ELY86" s="27"/>
      <c r="ELZ86" s="27"/>
      <c r="EMA86" s="27"/>
      <c r="EMB86" s="27"/>
      <c r="EMC86" s="27"/>
      <c r="EMD86" s="27"/>
      <c r="EME86" s="27"/>
      <c r="EMF86" s="27"/>
      <c r="EMG86" s="27"/>
      <c r="EMH86" s="27"/>
      <c r="EMI86" s="27"/>
      <c r="EMJ86" s="27"/>
      <c r="EMK86" s="27"/>
      <c r="EML86" s="27"/>
      <c r="EMM86" s="27"/>
      <c r="EMN86" s="27"/>
      <c r="EMO86" s="27"/>
      <c r="EMP86" s="27"/>
      <c r="EMQ86" s="27"/>
      <c r="EMR86" s="27"/>
      <c r="EMS86" s="27"/>
      <c r="EMT86" s="27"/>
      <c r="EMU86" s="27"/>
      <c r="EMV86" s="27"/>
      <c r="EMW86" s="27"/>
      <c r="EMX86" s="27"/>
      <c r="EMY86" s="27"/>
      <c r="EMZ86" s="27"/>
      <c r="ENA86" s="27"/>
      <c r="ENB86" s="27"/>
      <c r="ENC86" s="27"/>
      <c r="END86" s="27"/>
      <c r="ENE86" s="27"/>
      <c r="ENF86" s="27"/>
      <c r="ENG86" s="27"/>
      <c r="ENH86" s="27"/>
      <c r="ENI86" s="27"/>
      <c r="ENJ86" s="27"/>
      <c r="ENK86" s="27"/>
      <c r="ENL86" s="27"/>
      <c r="ENM86" s="27"/>
      <c r="ENN86" s="27"/>
      <c r="ENO86" s="27"/>
      <c r="ENP86" s="27"/>
      <c r="ENQ86" s="27"/>
      <c r="ENR86" s="27"/>
      <c r="ENS86" s="27"/>
      <c r="ENT86" s="27"/>
      <c r="ENU86" s="27"/>
      <c r="ENV86" s="27"/>
      <c r="ENW86" s="27"/>
      <c r="ENX86" s="27"/>
      <c r="ENY86" s="27"/>
      <c r="ENZ86" s="27"/>
      <c r="EOA86" s="27"/>
      <c r="EOB86" s="27"/>
      <c r="EOC86" s="27"/>
      <c r="EOD86" s="27"/>
      <c r="EOE86" s="27"/>
      <c r="EOF86" s="27"/>
      <c r="EOG86" s="27"/>
      <c r="EOH86" s="27"/>
      <c r="EOI86" s="27"/>
      <c r="EOJ86" s="27"/>
      <c r="EOK86" s="27"/>
      <c r="EOL86" s="27"/>
      <c r="EOM86" s="27"/>
      <c r="EON86" s="27"/>
      <c r="EOO86" s="27"/>
      <c r="EOP86" s="27"/>
      <c r="EOQ86" s="27"/>
      <c r="EOR86" s="27"/>
      <c r="EOS86" s="27"/>
      <c r="EOT86" s="27"/>
      <c r="EOU86" s="27"/>
      <c r="EOV86" s="27"/>
      <c r="EOW86" s="27"/>
      <c r="EOX86" s="27"/>
      <c r="EOY86" s="27"/>
      <c r="EOZ86" s="27"/>
      <c r="EPA86" s="27"/>
      <c r="EPB86" s="27"/>
      <c r="EPC86" s="27"/>
      <c r="EPD86" s="27"/>
      <c r="EPE86" s="27"/>
      <c r="EPF86" s="27"/>
      <c r="EPG86" s="27"/>
      <c r="EPH86" s="27"/>
      <c r="EPI86" s="27"/>
      <c r="EPJ86" s="27"/>
      <c r="EPK86" s="27"/>
      <c r="EPL86" s="27"/>
      <c r="EPM86" s="27"/>
      <c r="EPN86" s="27"/>
      <c r="EPO86" s="27"/>
      <c r="EPP86" s="27"/>
      <c r="EPQ86" s="27"/>
      <c r="EPR86" s="27"/>
      <c r="EPS86" s="27"/>
      <c r="EPT86" s="27"/>
      <c r="EPU86" s="27"/>
      <c r="EPV86" s="27"/>
      <c r="EPW86" s="27"/>
      <c r="EPX86" s="27"/>
      <c r="EPY86" s="27"/>
      <c r="EPZ86" s="27"/>
      <c r="EQA86" s="27"/>
      <c r="EQB86" s="27"/>
      <c r="EQC86" s="27"/>
      <c r="EQD86" s="27"/>
      <c r="EQE86" s="27"/>
      <c r="EQF86" s="27"/>
      <c r="EQG86" s="27"/>
      <c r="EQH86" s="27"/>
      <c r="EQI86" s="27"/>
      <c r="EQJ86" s="27"/>
      <c r="EQK86" s="27"/>
      <c r="EQL86" s="27"/>
      <c r="EQM86" s="27"/>
      <c r="EQN86" s="27"/>
      <c r="EQO86" s="27"/>
      <c r="EQP86" s="27"/>
      <c r="EQQ86" s="27"/>
      <c r="EQR86" s="27"/>
      <c r="EQS86" s="27"/>
      <c r="EQT86" s="27"/>
      <c r="EQU86" s="27"/>
      <c r="EQV86" s="27"/>
      <c r="EQW86" s="27"/>
      <c r="EQX86" s="27"/>
      <c r="EQY86" s="27"/>
      <c r="EQZ86" s="27"/>
      <c r="ERA86" s="27"/>
      <c r="ERB86" s="27"/>
      <c r="ERC86" s="27"/>
      <c r="ERD86" s="27"/>
      <c r="ERE86" s="27"/>
      <c r="ERF86" s="27"/>
      <c r="ERG86" s="27"/>
      <c r="ERH86" s="27"/>
      <c r="ERI86" s="27"/>
      <c r="ERJ86" s="27"/>
      <c r="ERK86" s="27"/>
      <c r="ERL86" s="27"/>
      <c r="ERM86" s="27"/>
      <c r="ERN86" s="27"/>
      <c r="ERO86" s="27"/>
      <c r="ERP86" s="27"/>
      <c r="ERQ86" s="27"/>
      <c r="ERR86" s="27"/>
      <c r="ERS86" s="27"/>
      <c r="ERT86" s="27"/>
      <c r="ERU86" s="27"/>
      <c r="ERV86" s="27"/>
      <c r="ERW86" s="27"/>
      <c r="ERX86" s="27"/>
      <c r="ERY86" s="27"/>
      <c r="ERZ86" s="27"/>
      <c r="ESA86" s="27"/>
      <c r="ESB86" s="27"/>
      <c r="ESC86" s="27"/>
      <c r="ESD86" s="27"/>
      <c r="ESE86" s="27"/>
      <c r="ESF86" s="27"/>
      <c r="ESG86" s="27"/>
      <c r="ESH86" s="27"/>
      <c r="ESI86" s="27"/>
      <c r="ESJ86" s="27"/>
      <c r="ESK86" s="27"/>
      <c r="ESL86" s="27"/>
      <c r="ESM86" s="27"/>
      <c r="ESN86" s="27"/>
      <c r="ESO86" s="27"/>
      <c r="ESP86" s="27"/>
      <c r="ESQ86" s="27"/>
      <c r="ESR86" s="27"/>
      <c r="ESS86" s="27"/>
      <c r="EST86" s="27"/>
      <c r="ESU86" s="27"/>
      <c r="ESV86" s="27"/>
      <c r="ESW86" s="27"/>
      <c r="ESX86" s="27"/>
      <c r="ESY86" s="27"/>
      <c r="ESZ86" s="27"/>
      <c r="ETA86" s="27"/>
      <c r="ETB86" s="27"/>
      <c r="ETC86" s="27"/>
      <c r="ETD86" s="27"/>
      <c r="ETE86" s="27"/>
      <c r="ETF86" s="27"/>
      <c r="ETG86" s="27"/>
      <c r="ETH86" s="27"/>
      <c r="ETI86" s="27"/>
      <c r="ETJ86" s="27"/>
      <c r="ETK86" s="27"/>
      <c r="ETL86" s="27"/>
      <c r="ETM86" s="27"/>
      <c r="ETN86" s="27"/>
      <c r="ETO86" s="27"/>
      <c r="ETP86" s="27"/>
      <c r="ETQ86" s="27"/>
      <c r="ETR86" s="27"/>
      <c r="ETS86" s="27"/>
      <c r="ETT86" s="27"/>
      <c r="ETU86" s="27"/>
      <c r="ETV86" s="27"/>
      <c r="ETW86" s="27"/>
      <c r="ETX86" s="27"/>
      <c r="ETY86" s="27"/>
      <c r="ETZ86" s="27"/>
      <c r="EUA86" s="27"/>
      <c r="EUB86" s="27"/>
      <c r="EUC86" s="27"/>
      <c r="EUD86" s="27"/>
      <c r="EUE86" s="27"/>
      <c r="EUF86" s="27"/>
      <c r="EUG86" s="27"/>
      <c r="EUH86" s="27"/>
      <c r="EUI86" s="27"/>
      <c r="EUJ86" s="27"/>
      <c r="EUK86" s="27"/>
      <c r="EUL86" s="27"/>
      <c r="EUM86" s="27"/>
      <c r="EUN86" s="27"/>
      <c r="EUO86" s="27"/>
      <c r="EUP86" s="27"/>
      <c r="EUQ86" s="27"/>
      <c r="EUR86" s="27"/>
      <c r="EUS86" s="27"/>
      <c r="EUT86" s="27"/>
      <c r="EUU86" s="27"/>
      <c r="EUV86" s="27"/>
      <c r="EUW86" s="27"/>
      <c r="EUX86" s="27"/>
      <c r="EUY86" s="27"/>
      <c r="EUZ86" s="27"/>
      <c r="EVA86" s="27"/>
      <c r="EVB86" s="27"/>
      <c r="EVC86" s="27"/>
      <c r="EVD86" s="27"/>
      <c r="EVE86" s="27"/>
      <c r="EVF86" s="27"/>
      <c r="EVG86" s="27"/>
      <c r="EVH86" s="27"/>
      <c r="EVI86" s="27"/>
      <c r="EVJ86" s="27"/>
      <c r="EVK86" s="27"/>
      <c r="EVL86" s="27"/>
      <c r="EVM86" s="27"/>
      <c r="EVN86" s="27"/>
      <c r="EVO86" s="27"/>
      <c r="EVP86" s="27"/>
      <c r="EVQ86" s="27"/>
      <c r="EVR86" s="27"/>
      <c r="EVS86" s="27"/>
      <c r="EVT86" s="27"/>
      <c r="EVU86" s="27"/>
      <c r="EVV86" s="27"/>
      <c r="EVW86" s="27"/>
      <c r="EVX86" s="27"/>
      <c r="EVY86" s="27"/>
      <c r="EVZ86" s="27"/>
      <c r="EWA86" s="27"/>
      <c r="EWB86" s="27"/>
      <c r="EWC86" s="27"/>
      <c r="EWD86" s="27"/>
      <c r="EWE86" s="27"/>
      <c r="EWF86" s="27"/>
      <c r="EWG86" s="27"/>
      <c r="EWH86" s="27"/>
      <c r="EWI86" s="27"/>
      <c r="EWJ86" s="27"/>
      <c r="EWK86" s="27"/>
      <c r="EWL86" s="27"/>
      <c r="EWM86" s="27"/>
      <c r="EWN86" s="27"/>
      <c r="EWO86" s="27"/>
      <c r="EWP86" s="27"/>
      <c r="EWQ86" s="27"/>
      <c r="EWR86" s="27"/>
      <c r="EWS86" s="27"/>
      <c r="EWT86" s="27"/>
      <c r="EWU86" s="27"/>
      <c r="EWV86" s="27"/>
      <c r="EWW86" s="27"/>
      <c r="EWX86" s="27"/>
      <c r="EWY86" s="27"/>
      <c r="EWZ86" s="27"/>
      <c r="EXA86" s="27"/>
      <c r="EXB86" s="27"/>
      <c r="EXC86" s="27"/>
      <c r="EXD86" s="27"/>
      <c r="EXE86" s="27"/>
      <c r="EXF86" s="27"/>
      <c r="EXG86" s="27"/>
      <c r="EXH86" s="27"/>
      <c r="EXI86" s="27"/>
      <c r="EXJ86" s="27"/>
      <c r="EXK86" s="27"/>
      <c r="EXL86" s="27"/>
      <c r="EXM86" s="27"/>
      <c r="EXN86" s="27"/>
      <c r="EXO86" s="27"/>
      <c r="EXP86" s="27"/>
      <c r="EXQ86" s="27"/>
      <c r="EXR86" s="27"/>
      <c r="EXS86" s="27"/>
      <c r="EXT86" s="27"/>
      <c r="EXU86" s="27"/>
      <c r="EXV86" s="27"/>
      <c r="EXW86" s="27"/>
      <c r="EXX86" s="27"/>
      <c r="EXY86" s="27"/>
      <c r="EXZ86" s="27"/>
      <c r="EYA86" s="27"/>
      <c r="EYB86" s="27"/>
      <c r="EYC86" s="27"/>
      <c r="EYD86" s="27"/>
      <c r="EYE86" s="27"/>
      <c r="EYF86" s="27"/>
      <c r="EYG86" s="27"/>
      <c r="EYH86" s="27"/>
      <c r="EYI86" s="27"/>
      <c r="EYJ86" s="27"/>
      <c r="EYK86" s="27"/>
      <c r="EYL86" s="27"/>
      <c r="EYM86" s="27"/>
      <c r="EYN86" s="27"/>
      <c r="EYO86" s="27"/>
      <c r="EYP86" s="27"/>
      <c r="EYQ86" s="27"/>
      <c r="EYR86" s="27"/>
      <c r="EYS86" s="27"/>
      <c r="EYT86" s="27"/>
      <c r="EYU86" s="27"/>
      <c r="EYV86" s="27"/>
      <c r="EYW86" s="27"/>
      <c r="EYX86" s="27"/>
      <c r="EYY86" s="27"/>
      <c r="EYZ86" s="27"/>
      <c r="EZA86" s="27"/>
      <c r="EZB86" s="27"/>
      <c r="EZC86" s="27"/>
      <c r="EZD86" s="27"/>
      <c r="EZE86" s="27"/>
      <c r="EZF86" s="27"/>
      <c r="EZG86" s="27"/>
      <c r="EZH86" s="27"/>
      <c r="EZI86" s="27"/>
      <c r="EZJ86" s="27"/>
      <c r="EZK86" s="27"/>
      <c r="EZL86" s="27"/>
      <c r="EZM86" s="27"/>
      <c r="EZN86" s="27"/>
      <c r="EZO86" s="27"/>
      <c r="EZP86" s="27"/>
      <c r="EZQ86" s="27"/>
      <c r="EZR86" s="27"/>
      <c r="EZS86" s="27"/>
      <c r="EZT86" s="27"/>
      <c r="EZU86" s="27"/>
      <c r="EZV86" s="27"/>
      <c r="EZW86" s="27"/>
      <c r="EZX86" s="27"/>
      <c r="EZY86" s="27"/>
      <c r="EZZ86" s="27"/>
      <c r="FAA86" s="27"/>
      <c r="FAB86" s="27"/>
      <c r="FAC86" s="27"/>
      <c r="FAD86" s="27"/>
      <c r="FAE86" s="27"/>
      <c r="FAF86" s="27"/>
      <c r="FAG86" s="27"/>
      <c r="FAH86" s="27"/>
      <c r="FAI86" s="27"/>
      <c r="FAJ86" s="27"/>
      <c r="FAK86" s="27"/>
      <c r="FAL86" s="27"/>
      <c r="FAM86" s="27"/>
      <c r="FAN86" s="27"/>
      <c r="FAO86" s="27"/>
      <c r="FAP86" s="27"/>
      <c r="FAQ86" s="27"/>
      <c r="FAR86" s="27"/>
      <c r="FAS86" s="27"/>
      <c r="FAT86" s="27"/>
      <c r="FAU86" s="27"/>
      <c r="FAV86" s="27"/>
      <c r="FAW86" s="27"/>
      <c r="FAX86" s="27"/>
      <c r="FAY86" s="27"/>
      <c r="FAZ86" s="27"/>
      <c r="FBA86" s="27"/>
      <c r="FBB86" s="27"/>
      <c r="FBC86" s="27"/>
      <c r="FBD86" s="27"/>
      <c r="FBE86" s="27"/>
      <c r="FBF86" s="27"/>
      <c r="FBG86" s="27"/>
      <c r="FBH86" s="27"/>
      <c r="FBI86" s="27"/>
      <c r="FBJ86" s="27"/>
      <c r="FBK86" s="27"/>
      <c r="FBL86" s="27"/>
      <c r="FBM86" s="27"/>
      <c r="FBN86" s="27"/>
      <c r="FBO86" s="27"/>
      <c r="FBP86" s="27"/>
      <c r="FBQ86" s="27"/>
      <c r="FBR86" s="27"/>
      <c r="FBS86" s="27"/>
      <c r="FBT86" s="27"/>
      <c r="FBU86" s="27"/>
      <c r="FBV86" s="27"/>
      <c r="FBW86" s="27"/>
      <c r="FBX86" s="27"/>
      <c r="FBY86" s="27"/>
      <c r="FBZ86" s="27"/>
      <c r="FCA86" s="27"/>
      <c r="FCB86" s="27"/>
      <c r="FCC86" s="27"/>
      <c r="FCD86" s="27"/>
      <c r="FCE86" s="27"/>
      <c r="FCF86" s="27"/>
      <c r="FCG86" s="27"/>
      <c r="FCH86" s="27"/>
      <c r="FCI86" s="27"/>
      <c r="FCJ86" s="27"/>
      <c r="FCK86" s="27"/>
      <c r="FCL86" s="27"/>
      <c r="FCM86" s="27"/>
      <c r="FCN86" s="27"/>
      <c r="FCO86" s="27"/>
      <c r="FCP86" s="27"/>
      <c r="FCQ86" s="27"/>
      <c r="FCR86" s="27"/>
      <c r="FCS86" s="27"/>
      <c r="FCT86" s="27"/>
      <c r="FCU86" s="27"/>
      <c r="FCV86" s="27"/>
      <c r="FCW86" s="27"/>
      <c r="FCX86" s="27"/>
      <c r="FCY86" s="27"/>
      <c r="FCZ86" s="27"/>
      <c r="FDA86" s="27"/>
      <c r="FDB86" s="27"/>
      <c r="FDC86" s="27"/>
      <c r="FDD86" s="27"/>
      <c r="FDE86" s="27"/>
      <c r="FDF86" s="27"/>
      <c r="FDG86" s="27"/>
      <c r="FDH86" s="27"/>
      <c r="FDI86" s="27"/>
      <c r="FDJ86" s="27"/>
      <c r="FDK86" s="27"/>
      <c r="FDL86" s="27"/>
      <c r="FDM86" s="27"/>
      <c r="FDN86" s="27"/>
      <c r="FDO86" s="27"/>
      <c r="FDP86" s="27"/>
      <c r="FDQ86" s="27"/>
      <c r="FDR86" s="27"/>
      <c r="FDS86" s="27"/>
      <c r="FDT86" s="27"/>
      <c r="FDU86" s="27"/>
      <c r="FDV86" s="27"/>
      <c r="FDW86" s="27"/>
      <c r="FDX86" s="27"/>
      <c r="FDY86" s="27"/>
      <c r="FDZ86" s="27"/>
      <c r="FEA86" s="27"/>
      <c r="FEB86" s="27"/>
      <c r="FEC86" s="27"/>
      <c r="FED86" s="27"/>
      <c r="FEE86" s="27"/>
      <c r="FEF86" s="27"/>
      <c r="FEG86" s="27"/>
      <c r="FEH86" s="27"/>
      <c r="FEI86" s="27"/>
      <c r="FEJ86" s="27"/>
      <c r="FEK86" s="27"/>
      <c r="FEL86" s="27"/>
      <c r="FEM86" s="27"/>
      <c r="FEN86" s="27"/>
      <c r="FEO86" s="27"/>
      <c r="FEP86" s="27"/>
      <c r="FEQ86" s="27"/>
      <c r="FER86" s="27"/>
      <c r="FES86" s="27"/>
      <c r="FET86" s="27"/>
      <c r="FEU86" s="27"/>
      <c r="FEV86" s="27"/>
      <c r="FEW86" s="27"/>
      <c r="FEX86" s="27"/>
      <c r="FEY86" s="27"/>
      <c r="FEZ86" s="27"/>
      <c r="FFA86" s="27"/>
      <c r="FFB86" s="27"/>
      <c r="FFC86" s="27"/>
      <c r="FFD86" s="27"/>
      <c r="FFE86" s="27"/>
      <c r="FFF86" s="27"/>
      <c r="FFG86" s="27"/>
      <c r="FFH86" s="27"/>
      <c r="FFI86" s="27"/>
      <c r="FFJ86" s="27"/>
      <c r="FFK86" s="27"/>
      <c r="FFL86" s="27"/>
      <c r="FFM86" s="27"/>
      <c r="FFN86" s="27"/>
      <c r="FFO86" s="27"/>
      <c r="FFP86" s="27"/>
      <c r="FFQ86" s="27"/>
      <c r="FFR86" s="27"/>
      <c r="FFS86" s="27"/>
      <c r="FFT86" s="27"/>
      <c r="FFU86" s="27"/>
      <c r="FFV86" s="27"/>
      <c r="FFW86" s="27"/>
      <c r="FFX86" s="27"/>
      <c r="FFY86" s="27"/>
      <c r="FFZ86" s="27"/>
      <c r="FGA86" s="27"/>
      <c r="FGB86" s="27"/>
      <c r="FGC86" s="27"/>
      <c r="FGD86" s="27"/>
      <c r="FGE86" s="27"/>
      <c r="FGF86" s="27"/>
      <c r="FGG86" s="27"/>
      <c r="FGH86" s="27"/>
      <c r="FGI86" s="27"/>
      <c r="FGJ86" s="27"/>
      <c r="FGK86" s="27"/>
      <c r="FGL86" s="27"/>
      <c r="FGM86" s="27"/>
      <c r="FGN86" s="27"/>
      <c r="FGO86" s="27"/>
      <c r="FGP86" s="27"/>
      <c r="FGQ86" s="27"/>
      <c r="FGR86" s="27"/>
      <c r="FGS86" s="27"/>
      <c r="FGT86" s="27"/>
      <c r="FGU86" s="27"/>
      <c r="FGV86" s="27"/>
      <c r="FGW86" s="27"/>
      <c r="FGX86" s="27"/>
      <c r="FGY86" s="27"/>
      <c r="FGZ86" s="27"/>
      <c r="FHA86" s="27"/>
      <c r="FHB86" s="27"/>
      <c r="FHC86" s="27"/>
      <c r="FHD86" s="27"/>
      <c r="FHE86" s="27"/>
      <c r="FHF86" s="27"/>
      <c r="FHG86" s="27"/>
      <c r="FHH86" s="27"/>
      <c r="FHI86" s="27"/>
      <c r="FHJ86" s="27"/>
      <c r="FHK86" s="27"/>
      <c r="FHL86" s="27"/>
      <c r="FHM86" s="27"/>
      <c r="FHN86" s="27"/>
      <c r="FHO86" s="27"/>
      <c r="FHP86" s="27"/>
      <c r="FHQ86" s="27"/>
      <c r="FHR86" s="27"/>
      <c r="FHS86" s="27"/>
      <c r="FHT86" s="27"/>
      <c r="FHU86" s="27"/>
      <c r="FHV86" s="27"/>
      <c r="FHW86" s="27"/>
      <c r="FHX86" s="27"/>
      <c r="FHY86" s="27"/>
      <c r="FHZ86" s="27"/>
      <c r="FIA86" s="27"/>
      <c r="FIB86" s="27"/>
      <c r="FIC86" s="27"/>
      <c r="FID86" s="27"/>
      <c r="FIE86" s="27"/>
      <c r="FIF86" s="27"/>
      <c r="FIG86" s="27"/>
      <c r="FIH86" s="27"/>
      <c r="FII86" s="27"/>
      <c r="FIJ86" s="27"/>
      <c r="FIK86" s="27"/>
      <c r="FIL86" s="27"/>
      <c r="FIM86" s="27"/>
      <c r="FIN86" s="27"/>
      <c r="FIO86" s="27"/>
      <c r="FIP86" s="27"/>
      <c r="FIQ86" s="27"/>
      <c r="FIR86" s="27"/>
      <c r="FIS86" s="27"/>
      <c r="FIT86" s="27"/>
      <c r="FIU86" s="27"/>
      <c r="FIV86" s="27"/>
      <c r="FIW86" s="27"/>
      <c r="FIX86" s="27"/>
      <c r="FIY86" s="27"/>
      <c r="FIZ86" s="27"/>
      <c r="FJA86" s="27"/>
      <c r="FJB86" s="27"/>
      <c r="FJC86" s="27"/>
      <c r="FJD86" s="27"/>
      <c r="FJE86" s="27"/>
      <c r="FJF86" s="27"/>
      <c r="FJG86" s="27"/>
      <c r="FJH86" s="27"/>
      <c r="FJI86" s="27"/>
      <c r="FJJ86" s="27"/>
      <c r="FJK86" s="27"/>
      <c r="FJL86" s="27"/>
      <c r="FJM86" s="27"/>
      <c r="FJN86" s="27"/>
      <c r="FJO86" s="27"/>
      <c r="FJP86" s="27"/>
      <c r="FJQ86" s="27"/>
      <c r="FJR86" s="27"/>
      <c r="FJS86" s="27"/>
      <c r="FJT86" s="27"/>
      <c r="FJU86" s="27"/>
      <c r="FJV86" s="27"/>
      <c r="FJW86" s="27"/>
      <c r="FJX86" s="27"/>
      <c r="FJY86" s="27"/>
      <c r="FJZ86" s="27"/>
      <c r="FKA86" s="27"/>
      <c r="FKB86" s="27"/>
      <c r="FKC86" s="27"/>
      <c r="FKD86" s="27"/>
      <c r="FKE86" s="27"/>
      <c r="FKF86" s="27"/>
      <c r="FKG86" s="27"/>
      <c r="FKH86" s="27"/>
      <c r="FKI86" s="27"/>
      <c r="FKJ86" s="27"/>
      <c r="FKK86" s="27"/>
      <c r="FKL86" s="27"/>
      <c r="FKM86" s="27"/>
      <c r="FKN86" s="27"/>
      <c r="FKO86" s="27"/>
      <c r="FKP86" s="27"/>
      <c r="FKQ86" s="27"/>
      <c r="FKR86" s="27"/>
      <c r="FKS86" s="27"/>
      <c r="FKT86" s="27"/>
      <c r="FKU86" s="27"/>
      <c r="FKV86" s="27"/>
      <c r="FKW86" s="27"/>
      <c r="FKX86" s="27"/>
      <c r="FKY86" s="27"/>
      <c r="FKZ86" s="27"/>
      <c r="FLA86" s="27"/>
      <c r="FLB86" s="27"/>
      <c r="FLC86" s="27"/>
      <c r="FLD86" s="27"/>
      <c r="FLE86" s="27"/>
      <c r="FLF86" s="27"/>
      <c r="FLG86" s="27"/>
      <c r="FLH86" s="27"/>
      <c r="FLI86" s="27"/>
      <c r="FLJ86" s="27"/>
      <c r="FLK86" s="27"/>
      <c r="FLL86" s="27"/>
      <c r="FLM86" s="27"/>
      <c r="FLN86" s="27"/>
      <c r="FLO86" s="27"/>
      <c r="FLP86" s="27"/>
      <c r="FLQ86" s="27"/>
      <c r="FLR86" s="27"/>
      <c r="FLS86" s="27"/>
      <c r="FLT86" s="27"/>
      <c r="FLU86" s="27"/>
      <c r="FLV86" s="27"/>
      <c r="FLW86" s="27"/>
      <c r="FLX86" s="27"/>
      <c r="FLY86" s="27"/>
      <c r="FLZ86" s="27"/>
      <c r="FMA86" s="27"/>
      <c r="FMB86" s="27"/>
      <c r="FMC86" s="27"/>
      <c r="FMD86" s="27"/>
      <c r="FME86" s="27"/>
      <c r="FMF86" s="27"/>
      <c r="FMG86" s="27"/>
      <c r="FMH86" s="27"/>
      <c r="FMI86" s="27"/>
      <c r="FMJ86" s="27"/>
      <c r="FMK86" s="27"/>
      <c r="FML86" s="27"/>
      <c r="FMM86" s="27"/>
      <c r="FMN86" s="27"/>
      <c r="FMO86" s="27"/>
      <c r="FMP86" s="27"/>
      <c r="FMQ86" s="27"/>
      <c r="FMR86" s="27"/>
      <c r="FMS86" s="27"/>
      <c r="FMT86" s="27"/>
      <c r="FMU86" s="27"/>
      <c r="FMV86" s="27"/>
      <c r="FMW86" s="27"/>
      <c r="FMX86" s="27"/>
      <c r="FMY86" s="27"/>
      <c r="FMZ86" s="27"/>
      <c r="FNA86" s="27"/>
      <c r="FNB86" s="27"/>
      <c r="FNC86" s="27"/>
      <c r="FND86" s="27"/>
      <c r="FNE86" s="27"/>
      <c r="FNF86" s="27"/>
      <c r="FNG86" s="27"/>
      <c r="FNH86" s="27"/>
      <c r="FNI86" s="27"/>
      <c r="FNJ86" s="27"/>
      <c r="FNK86" s="27"/>
      <c r="FNL86" s="27"/>
      <c r="FNM86" s="27"/>
      <c r="FNN86" s="27"/>
      <c r="FNO86" s="27"/>
      <c r="FNP86" s="27"/>
      <c r="FNQ86" s="27"/>
      <c r="FNR86" s="27"/>
      <c r="FNS86" s="27"/>
      <c r="FNT86" s="27"/>
      <c r="FNU86" s="27"/>
      <c r="FNV86" s="27"/>
      <c r="FNW86" s="27"/>
      <c r="FNX86" s="27"/>
      <c r="FNY86" s="27"/>
      <c r="FNZ86" s="27"/>
      <c r="FOA86" s="27"/>
      <c r="FOB86" s="27"/>
      <c r="FOC86" s="27"/>
      <c r="FOD86" s="27"/>
      <c r="FOE86" s="27"/>
      <c r="FOF86" s="27"/>
      <c r="FOG86" s="27"/>
      <c r="FOH86" s="27"/>
      <c r="FOI86" s="27"/>
      <c r="FOJ86" s="27"/>
      <c r="FOK86" s="27"/>
      <c r="FOL86" s="27"/>
      <c r="FOM86" s="27"/>
      <c r="FON86" s="27"/>
      <c r="FOO86" s="27"/>
      <c r="FOP86" s="27"/>
      <c r="FOQ86" s="27"/>
      <c r="FOR86" s="27"/>
      <c r="FOS86" s="27"/>
      <c r="FOT86" s="27"/>
      <c r="FOU86" s="27"/>
      <c r="FOV86" s="27"/>
      <c r="FOW86" s="27"/>
      <c r="FOX86" s="27"/>
      <c r="FOY86" s="27"/>
      <c r="FOZ86" s="27"/>
      <c r="FPA86" s="27"/>
      <c r="FPB86" s="27"/>
      <c r="FPC86" s="27"/>
      <c r="FPD86" s="27"/>
      <c r="FPE86" s="27"/>
      <c r="FPF86" s="27"/>
      <c r="FPG86" s="27"/>
      <c r="FPH86" s="27"/>
      <c r="FPI86" s="27"/>
      <c r="FPJ86" s="27"/>
      <c r="FPK86" s="27"/>
      <c r="FPL86" s="27"/>
      <c r="FPM86" s="27"/>
      <c r="FPN86" s="27"/>
      <c r="FPO86" s="27"/>
      <c r="FPP86" s="27"/>
      <c r="FPQ86" s="27"/>
      <c r="FPR86" s="27"/>
      <c r="FPS86" s="27"/>
      <c r="FPT86" s="27"/>
      <c r="FPU86" s="27"/>
      <c r="FPV86" s="27"/>
      <c r="FPW86" s="27"/>
      <c r="FPX86" s="27"/>
      <c r="FPY86" s="27"/>
      <c r="FPZ86" s="27"/>
      <c r="FQA86" s="27"/>
      <c r="FQB86" s="27"/>
      <c r="FQC86" s="27"/>
      <c r="FQD86" s="27"/>
      <c r="FQE86" s="27"/>
      <c r="FQF86" s="27"/>
      <c r="FQG86" s="27"/>
      <c r="FQH86" s="27"/>
      <c r="FQI86" s="27"/>
      <c r="FQJ86" s="27"/>
      <c r="FQK86" s="27"/>
      <c r="FQL86" s="27"/>
      <c r="FQM86" s="27"/>
      <c r="FQN86" s="27"/>
      <c r="FQO86" s="27"/>
      <c r="FQP86" s="27"/>
      <c r="FQQ86" s="27"/>
      <c r="FQR86" s="27"/>
      <c r="FQS86" s="27"/>
      <c r="FQT86" s="27"/>
      <c r="FQU86" s="27"/>
      <c r="FQV86" s="27"/>
      <c r="FQW86" s="27"/>
      <c r="FQX86" s="27"/>
      <c r="FQY86" s="27"/>
      <c r="FQZ86" s="27"/>
      <c r="FRA86" s="27"/>
      <c r="FRB86" s="27"/>
      <c r="FRC86" s="27"/>
      <c r="FRD86" s="27"/>
      <c r="FRE86" s="27"/>
      <c r="FRF86" s="27"/>
      <c r="FRG86" s="27"/>
      <c r="FRH86" s="27"/>
      <c r="FRI86" s="27"/>
      <c r="FRJ86" s="27"/>
      <c r="FRK86" s="27"/>
      <c r="FRL86" s="27"/>
      <c r="FRM86" s="27"/>
      <c r="FRN86" s="27"/>
      <c r="FRO86" s="27"/>
      <c r="FRP86" s="27"/>
      <c r="FRQ86" s="27"/>
      <c r="FRR86" s="27"/>
      <c r="FRS86" s="27"/>
      <c r="FRT86" s="27"/>
      <c r="FRU86" s="27"/>
      <c r="FRV86" s="27"/>
      <c r="FRW86" s="27"/>
      <c r="FRX86" s="27"/>
      <c r="FRY86" s="27"/>
      <c r="FRZ86" s="27"/>
      <c r="FSA86" s="27"/>
      <c r="FSB86" s="27"/>
      <c r="FSC86" s="27"/>
      <c r="FSD86" s="27"/>
      <c r="FSE86" s="27"/>
      <c r="FSF86" s="27"/>
      <c r="FSG86" s="27"/>
      <c r="FSH86" s="27"/>
      <c r="FSI86" s="27"/>
      <c r="FSJ86" s="27"/>
      <c r="FSK86" s="27"/>
      <c r="FSL86" s="27"/>
      <c r="FSM86" s="27"/>
      <c r="FSN86" s="27"/>
      <c r="FSO86" s="27"/>
      <c r="FSP86" s="27"/>
      <c r="FSQ86" s="27"/>
      <c r="FSR86" s="27"/>
      <c r="FSS86" s="27"/>
      <c r="FST86" s="27"/>
      <c r="FSU86" s="27"/>
      <c r="FSV86" s="27"/>
      <c r="FSW86" s="27"/>
      <c r="FSX86" s="27"/>
      <c r="FSY86" s="27"/>
      <c r="FSZ86" s="27"/>
      <c r="FTA86" s="27"/>
      <c r="FTB86" s="27"/>
      <c r="FTC86" s="27"/>
      <c r="FTD86" s="27"/>
      <c r="FTE86" s="27"/>
      <c r="FTF86" s="27"/>
      <c r="FTG86" s="27"/>
      <c r="FTH86" s="27"/>
      <c r="FTI86" s="27"/>
      <c r="FTJ86" s="27"/>
      <c r="FTK86" s="27"/>
      <c r="FTL86" s="27"/>
      <c r="FTM86" s="27"/>
      <c r="FTN86" s="27"/>
      <c r="FTO86" s="27"/>
      <c r="FTP86" s="27"/>
      <c r="FTQ86" s="27"/>
      <c r="FTR86" s="27"/>
      <c r="FTS86" s="27"/>
      <c r="FTT86" s="27"/>
      <c r="FTU86" s="27"/>
      <c r="FTV86" s="27"/>
      <c r="FTW86" s="27"/>
      <c r="FTX86" s="27"/>
      <c r="FTY86" s="27"/>
      <c r="FTZ86" s="27"/>
      <c r="FUA86" s="27"/>
      <c r="FUB86" s="27"/>
      <c r="FUC86" s="27"/>
      <c r="FUD86" s="27"/>
      <c r="FUE86" s="27"/>
      <c r="FUF86" s="27"/>
      <c r="FUG86" s="27"/>
      <c r="FUH86" s="27"/>
      <c r="FUI86" s="27"/>
      <c r="FUJ86" s="27"/>
      <c r="FUK86" s="27"/>
      <c r="FUL86" s="27"/>
      <c r="FUM86" s="27"/>
      <c r="FUN86" s="27"/>
      <c r="FUO86" s="27"/>
      <c r="FUP86" s="27"/>
      <c r="FUQ86" s="27"/>
      <c r="FUR86" s="27"/>
      <c r="FUS86" s="27"/>
      <c r="FUT86" s="27"/>
      <c r="FUU86" s="27"/>
      <c r="FUV86" s="27"/>
      <c r="FUW86" s="27"/>
      <c r="FUX86" s="27"/>
      <c r="FUY86" s="27"/>
      <c r="FUZ86" s="27"/>
      <c r="FVA86" s="27"/>
      <c r="FVB86" s="27"/>
      <c r="FVC86" s="27"/>
      <c r="FVD86" s="27"/>
      <c r="FVE86" s="27"/>
      <c r="FVF86" s="27"/>
      <c r="FVG86" s="27"/>
      <c r="FVH86" s="27"/>
      <c r="FVI86" s="27"/>
      <c r="FVJ86" s="27"/>
      <c r="FVK86" s="27"/>
      <c r="FVL86" s="27"/>
      <c r="FVM86" s="27"/>
      <c r="FVN86" s="27"/>
      <c r="FVO86" s="27"/>
      <c r="FVP86" s="27"/>
      <c r="FVQ86" s="27"/>
      <c r="FVR86" s="27"/>
      <c r="FVS86" s="27"/>
      <c r="FVT86" s="27"/>
      <c r="FVU86" s="27"/>
      <c r="FVV86" s="27"/>
      <c r="FVW86" s="27"/>
      <c r="FVX86" s="27"/>
      <c r="FVY86" s="27"/>
      <c r="FVZ86" s="27"/>
      <c r="FWA86" s="27"/>
      <c r="FWB86" s="27"/>
      <c r="FWC86" s="27"/>
      <c r="FWD86" s="27"/>
      <c r="FWE86" s="27"/>
      <c r="FWF86" s="27"/>
      <c r="FWG86" s="27"/>
      <c r="FWH86" s="27"/>
      <c r="FWI86" s="27"/>
      <c r="FWJ86" s="27"/>
      <c r="FWK86" s="27"/>
      <c r="FWL86" s="27"/>
      <c r="FWM86" s="27"/>
      <c r="FWN86" s="27"/>
      <c r="FWO86" s="27"/>
      <c r="FWP86" s="27"/>
      <c r="FWQ86" s="27"/>
      <c r="FWR86" s="27"/>
      <c r="FWS86" s="27"/>
      <c r="FWT86" s="27"/>
      <c r="FWU86" s="27"/>
      <c r="FWV86" s="27"/>
      <c r="FWW86" s="27"/>
      <c r="FWX86" s="27"/>
      <c r="FWY86" s="27"/>
      <c r="FWZ86" s="27"/>
      <c r="FXA86" s="27"/>
      <c r="FXB86" s="27"/>
      <c r="FXC86" s="27"/>
      <c r="FXD86" s="27"/>
      <c r="FXE86" s="27"/>
      <c r="FXF86" s="27"/>
      <c r="FXG86" s="27"/>
      <c r="FXH86" s="27"/>
      <c r="FXI86" s="27"/>
      <c r="FXJ86" s="27"/>
      <c r="FXK86" s="27"/>
      <c r="FXL86" s="27"/>
      <c r="FXM86" s="27"/>
      <c r="FXN86" s="27"/>
      <c r="FXO86" s="27"/>
      <c r="FXP86" s="27"/>
      <c r="FXQ86" s="27"/>
      <c r="FXR86" s="27"/>
      <c r="FXS86" s="27"/>
      <c r="FXT86" s="27"/>
      <c r="FXU86" s="27"/>
      <c r="FXV86" s="27"/>
      <c r="FXW86" s="27"/>
      <c r="FXX86" s="27"/>
      <c r="FXY86" s="27"/>
      <c r="FXZ86" s="27"/>
      <c r="FYA86" s="27"/>
      <c r="FYB86" s="27"/>
      <c r="FYC86" s="27"/>
      <c r="FYD86" s="27"/>
      <c r="FYE86" s="27"/>
      <c r="FYF86" s="27"/>
      <c r="FYG86" s="27"/>
      <c r="FYH86" s="27"/>
      <c r="FYI86" s="27"/>
      <c r="FYJ86" s="27"/>
      <c r="FYK86" s="27"/>
      <c r="FYL86" s="27"/>
      <c r="FYM86" s="27"/>
      <c r="FYN86" s="27"/>
      <c r="FYO86" s="27"/>
      <c r="FYP86" s="27"/>
      <c r="FYQ86" s="27"/>
      <c r="FYR86" s="27"/>
      <c r="FYS86" s="27"/>
      <c r="FYT86" s="27"/>
      <c r="FYU86" s="27"/>
      <c r="FYV86" s="27"/>
      <c r="FYW86" s="27"/>
      <c r="FYX86" s="27"/>
      <c r="FYY86" s="27"/>
      <c r="FYZ86" s="27"/>
      <c r="FZA86" s="27"/>
      <c r="FZB86" s="27"/>
      <c r="FZC86" s="27"/>
      <c r="FZD86" s="27"/>
      <c r="FZE86" s="27"/>
      <c r="FZF86" s="27"/>
      <c r="FZG86" s="27"/>
      <c r="FZH86" s="27"/>
      <c r="FZI86" s="27"/>
      <c r="FZJ86" s="27"/>
      <c r="FZK86" s="27"/>
      <c r="FZL86" s="27"/>
      <c r="FZM86" s="27"/>
      <c r="FZN86" s="27"/>
      <c r="FZO86" s="27"/>
      <c r="FZP86" s="27"/>
      <c r="FZQ86" s="27"/>
      <c r="FZR86" s="27"/>
      <c r="FZS86" s="27"/>
      <c r="FZT86" s="27"/>
      <c r="FZU86" s="27"/>
      <c r="FZV86" s="27"/>
      <c r="FZW86" s="27"/>
      <c r="FZX86" s="27"/>
      <c r="FZY86" s="27"/>
      <c r="FZZ86" s="27"/>
      <c r="GAA86" s="27"/>
      <c r="GAB86" s="27"/>
      <c r="GAC86" s="27"/>
      <c r="GAD86" s="27"/>
      <c r="GAE86" s="27"/>
      <c r="GAF86" s="27"/>
      <c r="GAG86" s="27"/>
      <c r="GAH86" s="27"/>
      <c r="GAI86" s="27"/>
      <c r="GAJ86" s="27"/>
      <c r="GAK86" s="27"/>
      <c r="GAL86" s="27"/>
      <c r="GAM86" s="27"/>
      <c r="GAN86" s="27"/>
      <c r="GAO86" s="27"/>
      <c r="GAP86" s="27"/>
      <c r="GAQ86" s="27"/>
      <c r="GAR86" s="27"/>
      <c r="GAS86" s="27"/>
      <c r="GAT86" s="27"/>
      <c r="GAU86" s="27"/>
      <c r="GAV86" s="27"/>
      <c r="GAW86" s="27"/>
      <c r="GAX86" s="27"/>
      <c r="GAY86" s="27"/>
      <c r="GAZ86" s="27"/>
      <c r="GBA86" s="27"/>
      <c r="GBB86" s="27"/>
      <c r="GBC86" s="27"/>
      <c r="GBD86" s="27"/>
      <c r="GBE86" s="27"/>
      <c r="GBF86" s="27"/>
      <c r="GBG86" s="27"/>
      <c r="GBH86" s="27"/>
      <c r="GBI86" s="27"/>
      <c r="GBJ86" s="27"/>
      <c r="GBK86" s="27"/>
      <c r="GBL86" s="27"/>
      <c r="GBM86" s="27"/>
      <c r="GBN86" s="27"/>
      <c r="GBO86" s="27"/>
      <c r="GBP86" s="27"/>
      <c r="GBQ86" s="27"/>
      <c r="GBR86" s="27"/>
      <c r="GBS86" s="27"/>
      <c r="GBT86" s="27"/>
      <c r="GBU86" s="27"/>
      <c r="GBV86" s="27"/>
      <c r="GBW86" s="27"/>
      <c r="GBX86" s="27"/>
      <c r="GBY86" s="27"/>
      <c r="GBZ86" s="27"/>
      <c r="GCA86" s="27"/>
      <c r="GCB86" s="27"/>
      <c r="GCC86" s="27"/>
      <c r="GCD86" s="27"/>
      <c r="GCE86" s="27"/>
      <c r="GCF86" s="27"/>
      <c r="GCG86" s="27"/>
      <c r="GCH86" s="27"/>
      <c r="GCI86" s="27"/>
      <c r="GCJ86" s="27"/>
      <c r="GCK86" s="27"/>
      <c r="GCL86" s="27"/>
      <c r="GCM86" s="27"/>
      <c r="GCN86" s="27"/>
      <c r="GCO86" s="27"/>
      <c r="GCP86" s="27"/>
      <c r="GCQ86" s="27"/>
      <c r="GCR86" s="27"/>
      <c r="GCS86" s="27"/>
      <c r="GCT86" s="27"/>
      <c r="GCU86" s="27"/>
      <c r="GCV86" s="27"/>
      <c r="GCW86" s="27"/>
      <c r="GCX86" s="27"/>
      <c r="GCY86" s="27"/>
      <c r="GCZ86" s="27"/>
      <c r="GDA86" s="27"/>
      <c r="GDB86" s="27"/>
      <c r="GDC86" s="27"/>
      <c r="GDD86" s="27"/>
      <c r="GDE86" s="27"/>
      <c r="GDF86" s="27"/>
      <c r="GDG86" s="27"/>
      <c r="GDH86" s="27"/>
      <c r="GDI86" s="27"/>
      <c r="GDJ86" s="27"/>
      <c r="GDK86" s="27"/>
      <c r="GDL86" s="27"/>
      <c r="GDM86" s="27"/>
      <c r="GDN86" s="27"/>
      <c r="GDO86" s="27"/>
      <c r="GDP86" s="27"/>
      <c r="GDQ86" s="27"/>
      <c r="GDR86" s="27"/>
      <c r="GDS86" s="27"/>
      <c r="GDT86" s="27"/>
      <c r="GDU86" s="27"/>
      <c r="GDV86" s="27"/>
      <c r="GDW86" s="27"/>
      <c r="GDX86" s="27"/>
      <c r="GDY86" s="27"/>
      <c r="GDZ86" s="27"/>
      <c r="GEA86" s="27"/>
      <c r="GEB86" s="27"/>
      <c r="GEC86" s="27"/>
      <c r="GED86" s="27"/>
      <c r="GEE86" s="27"/>
      <c r="GEF86" s="27"/>
      <c r="GEG86" s="27"/>
      <c r="GEH86" s="27"/>
      <c r="GEI86" s="27"/>
      <c r="GEJ86" s="27"/>
      <c r="GEK86" s="27"/>
      <c r="GEL86" s="27"/>
      <c r="GEM86" s="27"/>
      <c r="GEN86" s="27"/>
      <c r="GEO86" s="27"/>
      <c r="GEP86" s="27"/>
      <c r="GEQ86" s="27"/>
      <c r="GER86" s="27"/>
      <c r="GES86" s="27"/>
      <c r="GET86" s="27"/>
      <c r="GEU86" s="27"/>
      <c r="GEV86" s="27"/>
      <c r="GEW86" s="27"/>
      <c r="GEX86" s="27"/>
      <c r="GEY86" s="27"/>
      <c r="GEZ86" s="27"/>
      <c r="GFA86" s="27"/>
      <c r="GFB86" s="27"/>
      <c r="GFC86" s="27"/>
      <c r="GFD86" s="27"/>
      <c r="GFE86" s="27"/>
      <c r="GFF86" s="27"/>
      <c r="GFG86" s="27"/>
      <c r="GFH86" s="27"/>
      <c r="GFI86" s="27"/>
      <c r="GFJ86" s="27"/>
      <c r="GFK86" s="27"/>
      <c r="GFL86" s="27"/>
      <c r="GFM86" s="27"/>
      <c r="GFN86" s="27"/>
      <c r="GFO86" s="27"/>
      <c r="GFP86" s="27"/>
      <c r="GFQ86" s="27"/>
      <c r="GFR86" s="27"/>
      <c r="GFS86" s="27"/>
      <c r="GFT86" s="27"/>
      <c r="GFU86" s="27"/>
      <c r="GFV86" s="27"/>
      <c r="GFW86" s="27"/>
      <c r="GFX86" s="27"/>
      <c r="GFY86" s="27"/>
      <c r="GFZ86" s="27"/>
      <c r="GGA86" s="27"/>
      <c r="GGB86" s="27"/>
      <c r="GGC86" s="27"/>
      <c r="GGD86" s="27"/>
      <c r="GGE86" s="27"/>
      <c r="GGF86" s="27"/>
      <c r="GGG86" s="27"/>
      <c r="GGH86" s="27"/>
      <c r="GGI86" s="27"/>
      <c r="GGJ86" s="27"/>
      <c r="GGK86" s="27"/>
      <c r="GGL86" s="27"/>
      <c r="GGM86" s="27"/>
      <c r="GGN86" s="27"/>
      <c r="GGO86" s="27"/>
      <c r="GGP86" s="27"/>
      <c r="GGQ86" s="27"/>
      <c r="GGR86" s="27"/>
      <c r="GGS86" s="27"/>
      <c r="GGT86" s="27"/>
      <c r="GGU86" s="27"/>
      <c r="GGV86" s="27"/>
      <c r="GGW86" s="27"/>
      <c r="GGX86" s="27"/>
      <c r="GGY86" s="27"/>
      <c r="GGZ86" s="27"/>
      <c r="GHA86" s="27"/>
      <c r="GHB86" s="27"/>
      <c r="GHC86" s="27"/>
      <c r="GHD86" s="27"/>
      <c r="GHE86" s="27"/>
      <c r="GHF86" s="27"/>
      <c r="GHG86" s="27"/>
      <c r="GHH86" s="27"/>
      <c r="GHI86" s="27"/>
      <c r="GHJ86" s="27"/>
      <c r="GHK86" s="27"/>
      <c r="GHL86" s="27"/>
      <c r="GHM86" s="27"/>
      <c r="GHN86" s="27"/>
      <c r="GHO86" s="27"/>
      <c r="GHP86" s="27"/>
      <c r="GHQ86" s="27"/>
      <c r="GHR86" s="27"/>
      <c r="GHS86" s="27"/>
      <c r="GHT86" s="27"/>
      <c r="GHU86" s="27"/>
      <c r="GHV86" s="27"/>
      <c r="GHW86" s="27"/>
      <c r="GHX86" s="27"/>
      <c r="GHY86" s="27"/>
      <c r="GHZ86" s="27"/>
      <c r="GIA86" s="27"/>
      <c r="GIB86" s="27"/>
      <c r="GIC86" s="27"/>
      <c r="GID86" s="27"/>
      <c r="GIE86" s="27"/>
      <c r="GIF86" s="27"/>
      <c r="GIG86" s="27"/>
      <c r="GIH86" s="27"/>
      <c r="GII86" s="27"/>
      <c r="GIJ86" s="27"/>
      <c r="GIK86" s="27"/>
      <c r="GIL86" s="27"/>
      <c r="GIM86" s="27"/>
      <c r="GIN86" s="27"/>
      <c r="GIO86" s="27"/>
      <c r="GIP86" s="27"/>
      <c r="GIQ86" s="27"/>
      <c r="GIR86" s="27"/>
      <c r="GIS86" s="27"/>
      <c r="GIT86" s="27"/>
      <c r="GIU86" s="27"/>
      <c r="GIV86" s="27"/>
      <c r="GIW86" s="27"/>
      <c r="GIX86" s="27"/>
      <c r="GIY86" s="27"/>
      <c r="GIZ86" s="27"/>
      <c r="GJA86" s="27"/>
      <c r="GJB86" s="27"/>
      <c r="GJC86" s="27"/>
      <c r="GJD86" s="27"/>
      <c r="GJE86" s="27"/>
      <c r="GJF86" s="27"/>
      <c r="GJG86" s="27"/>
      <c r="GJH86" s="27"/>
      <c r="GJI86" s="27"/>
      <c r="GJJ86" s="27"/>
      <c r="GJK86" s="27"/>
      <c r="GJL86" s="27"/>
      <c r="GJM86" s="27"/>
      <c r="GJN86" s="27"/>
      <c r="GJO86" s="27"/>
      <c r="GJP86" s="27"/>
      <c r="GJQ86" s="27"/>
      <c r="GJR86" s="27"/>
      <c r="GJS86" s="27"/>
      <c r="GJT86" s="27"/>
      <c r="GJU86" s="27"/>
      <c r="GJV86" s="27"/>
      <c r="GJW86" s="27"/>
      <c r="GJX86" s="27"/>
      <c r="GJY86" s="27"/>
      <c r="GJZ86" s="27"/>
      <c r="GKA86" s="27"/>
      <c r="GKB86" s="27"/>
      <c r="GKC86" s="27"/>
      <c r="GKD86" s="27"/>
      <c r="GKE86" s="27"/>
      <c r="GKF86" s="27"/>
      <c r="GKG86" s="27"/>
      <c r="GKH86" s="27"/>
      <c r="GKI86" s="27"/>
      <c r="GKJ86" s="27"/>
      <c r="GKK86" s="27"/>
      <c r="GKL86" s="27"/>
      <c r="GKM86" s="27"/>
      <c r="GKN86" s="27"/>
      <c r="GKO86" s="27"/>
      <c r="GKP86" s="27"/>
      <c r="GKQ86" s="27"/>
      <c r="GKR86" s="27"/>
      <c r="GKS86" s="27"/>
      <c r="GKT86" s="27"/>
      <c r="GKU86" s="27"/>
      <c r="GKV86" s="27"/>
      <c r="GKW86" s="27"/>
      <c r="GKX86" s="27"/>
      <c r="GKY86" s="27"/>
      <c r="GKZ86" s="27"/>
      <c r="GLA86" s="27"/>
      <c r="GLB86" s="27"/>
      <c r="GLC86" s="27"/>
      <c r="GLD86" s="27"/>
      <c r="GLE86" s="27"/>
      <c r="GLF86" s="27"/>
      <c r="GLG86" s="27"/>
      <c r="GLH86" s="27"/>
      <c r="GLI86" s="27"/>
      <c r="GLJ86" s="27"/>
      <c r="GLK86" s="27"/>
      <c r="GLL86" s="27"/>
      <c r="GLM86" s="27"/>
      <c r="GLN86" s="27"/>
      <c r="GLO86" s="27"/>
      <c r="GLP86" s="27"/>
      <c r="GLQ86" s="27"/>
      <c r="GLR86" s="27"/>
      <c r="GLS86" s="27"/>
      <c r="GLT86" s="27"/>
      <c r="GLU86" s="27"/>
      <c r="GLV86" s="27"/>
      <c r="GLW86" s="27"/>
      <c r="GLX86" s="27"/>
      <c r="GLY86" s="27"/>
      <c r="GLZ86" s="27"/>
      <c r="GMA86" s="27"/>
      <c r="GMB86" s="27"/>
      <c r="GMC86" s="27"/>
      <c r="GMD86" s="27"/>
      <c r="GME86" s="27"/>
      <c r="GMF86" s="27"/>
      <c r="GMG86" s="27"/>
      <c r="GMH86" s="27"/>
      <c r="GMI86" s="27"/>
      <c r="GMJ86" s="27"/>
      <c r="GMK86" s="27"/>
      <c r="GML86" s="27"/>
      <c r="GMM86" s="27"/>
      <c r="GMN86" s="27"/>
      <c r="GMO86" s="27"/>
      <c r="GMP86" s="27"/>
      <c r="GMQ86" s="27"/>
      <c r="GMR86" s="27"/>
      <c r="GMS86" s="27"/>
      <c r="GMT86" s="27"/>
      <c r="GMU86" s="27"/>
      <c r="GMV86" s="27"/>
      <c r="GMW86" s="27"/>
      <c r="GMX86" s="27"/>
      <c r="GMY86" s="27"/>
      <c r="GMZ86" s="27"/>
      <c r="GNA86" s="27"/>
      <c r="GNB86" s="27"/>
      <c r="GNC86" s="27"/>
      <c r="GND86" s="27"/>
      <c r="GNE86" s="27"/>
      <c r="GNF86" s="27"/>
      <c r="GNG86" s="27"/>
      <c r="GNH86" s="27"/>
      <c r="GNI86" s="27"/>
      <c r="GNJ86" s="27"/>
      <c r="GNK86" s="27"/>
      <c r="GNL86" s="27"/>
      <c r="GNM86" s="27"/>
      <c r="GNN86" s="27"/>
      <c r="GNO86" s="27"/>
      <c r="GNP86" s="27"/>
      <c r="GNQ86" s="27"/>
      <c r="GNR86" s="27"/>
      <c r="GNS86" s="27"/>
      <c r="GNT86" s="27"/>
      <c r="GNU86" s="27"/>
      <c r="GNV86" s="27"/>
      <c r="GNW86" s="27"/>
      <c r="GNX86" s="27"/>
      <c r="GNY86" s="27"/>
      <c r="GNZ86" s="27"/>
      <c r="GOA86" s="27"/>
      <c r="GOB86" s="27"/>
      <c r="GOC86" s="27"/>
      <c r="GOD86" s="27"/>
      <c r="GOE86" s="27"/>
      <c r="GOF86" s="27"/>
      <c r="GOG86" s="27"/>
      <c r="GOH86" s="27"/>
      <c r="GOI86" s="27"/>
      <c r="GOJ86" s="27"/>
      <c r="GOK86" s="27"/>
      <c r="GOL86" s="27"/>
      <c r="GOM86" s="27"/>
      <c r="GON86" s="27"/>
      <c r="GOO86" s="27"/>
      <c r="GOP86" s="27"/>
      <c r="GOQ86" s="27"/>
      <c r="GOR86" s="27"/>
      <c r="GOS86" s="27"/>
      <c r="GOT86" s="27"/>
      <c r="GOU86" s="27"/>
      <c r="GOV86" s="27"/>
      <c r="GOW86" s="27"/>
      <c r="GOX86" s="27"/>
      <c r="GOY86" s="27"/>
      <c r="GOZ86" s="27"/>
      <c r="GPA86" s="27"/>
      <c r="GPB86" s="27"/>
      <c r="GPC86" s="27"/>
      <c r="GPD86" s="27"/>
      <c r="GPE86" s="27"/>
      <c r="GPF86" s="27"/>
      <c r="GPG86" s="27"/>
      <c r="GPH86" s="27"/>
      <c r="GPI86" s="27"/>
      <c r="GPJ86" s="27"/>
      <c r="GPK86" s="27"/>
      <c r="GPL86" s="27"/>
      <c r="GPM86" s="27"/>
      <c r="GPN86" s="27"/>
      <c r="GPO86" s="27"/>
      <c r="GPP86" s="27"/>
      <c r="GPQ86" s="27"/>
      <c r="GPR86" s="27"/>
      <c r="GPS86" s="27"/>
      <c r="GPT86" s="27"/>
      <c r="GPU86" s="27"/>
      <c r="GPV86" s="27"/>
      <c r="GPW86" s="27"/>
      <c r="GPX86" s="27"/>
      <c r="GPY86" s="27"/>
      <c r="GPZ86" s="27"/>
      <c r="GQA86" s="27"/>
      <c r="GQB86" s="27"/>
      <c r="GQC86" s="27"/>
      <c r="GQD86" s="27"/>
      <c r="GQE86" s="27"/>
      <c r="GQF86" s="27"/>
      <c r="GQG86" s="27"/>
      <c r="GQH86" s="27"/>
      <c r="GQI86" s="27"/>
      <c r="GQJ86" s="27"/>
      <c r="GQK86" s="27"/>
      <c r="GQL86" s="27"/>
      <c r="GQM86" s="27"/>
      <c r="GQN86" s="27"/>
      <c r="GQO86" s="27"/>
      <c r="GQP86" s="27"/>
      <c r="GQQ86" s="27"/>
      <c r="GQR86" s="27"/>
      <c r="GQS86" s="27"/>
      <c r="GQT86" s="27"/>
      <c r="GQU86" s="27"/>
      <c r="GQV86" s="27"/>
      <c r="GQW86" s="27"/>
      <c r="GQX86" s="27"/>
      <c r="GQY86" s="27"/>
      <c r="GQZ86" s="27"/>
      <c r="GRA86" s="27"/>
      <c r="GRB86" s="27"/>
      <c r="GRC86" s="27"/>
      <c r="GRD86" s="27"/>
      <c r="GRE86" s="27"/>
      <c r="GRF86" s="27"/>
      <c r="GRG86" s="27"/>
      <c r="GRH86" s="27"/>
      <c r="GRI86" s="27"/>
      <c r="GRJ86" s="27"/>
      <c r="GRK86" s="27"/>
      <c r="GRL86" s="27"/>
      <c r="GRM86" s="27"/>
      <c r="GRN86" s="27"/>
      <c r="GRO86" s="27"/>
      <c r="GRP86" s="27"/>
      <c r="GRQ86" s="27"/>
      <c r="GRR86" s="27"/>
      <c r="GRS86" s="27"/>
      <c r="GRT86" s="27"/>
      <c r="GRU86" s="27"/>
      <c r="GRV86" s="27"/>
      <c r="GRW86" s="27"/>
      <c r="GRX86" s="27"/>
      <c r="GRY86" s="27"/>
      <c r="GRZ86" s="27"/>
      <c r="GSA86" s="27"/>
      <c r="GSB86" s="27"/>
      <c r="GSC86" s="27"/>
      <c r="GSD86" s="27"/>
      <c r="GSE86" s="27"/>
      <c r="GSF86" s="27"/>
      <c r="GSG86" s="27"/>
      <c r="GSH86" s="27"/>
      <c r="GSI86" s="27"/>
      <c r="GSJ86" s="27"/>
      <c r="GSK86" s="27"/>
      <c r="GSL86" s="27"/>
      <c r="GSM86" s="27"/>
      <c r="GSN86" s="27"/>
      <c r="GSO86" s="27"/>
      <c r="GSP86" s="27"/>
      <c r="GSQ86" s="27"/>
      <c r="GSR86" s="27"/>
      <c r="GSS86" s="27"/>
      <c r="GST86" s="27"/>
      <c r="GSU86" s="27"/>
      <c r="GSV86" s="27"/>
      <c r="GSW86" s="27"/>
      <c r="GSX86" s="27"/>
      <c r="GSY86" s="27"/>
      <c r="GSZ86" s="27"/>
      <c r="GTA86" s="27"/>
      <c r="GTB86" s="27"/>
      <c r="GTC86" s="27"/>
      <c r="GTD86" s="27"/>
      <c r="GTE86" s="27"/>
      <c r="GTF86" s="27"/>
      <c r="GTG86" s="27"/>
      <c r="GTH86" s="27"/>
      <c r="GTI86" s="27"/>
      <c r="GTJ86" s="27"/>
      <c r="GTK86" s="27"/>
      <c r="GTL86" s="27"/>
      <c r="GTM86" s="27"/>
      <c r="GTN86" s="27"/>
      <c r="GTO86" s="27"/>
      <c r="GTP86" s="27"/>
      <c r="GTQ86" s="27"/>
      <c r="GTR86" s="27"/>
      <c r="GTS86" s="27"/>
      <c r="GTT86" s="27"/>
      <c r="GTU86" s="27"/>
      <c r="GTV86" s="27"/>
      <c r="GTW86" s="27"/>
      <c r="GTX86" s="27"/>
      <c r="GTY86" s="27"/>
      <c r="GTZ86" s="27"/>
      <c r="GUA86" s="27"/>
      <c r="GUB86" s="27"/>
      <c r="GUC86" s="27"/>
      <c r="GUD86" s="27"/>
      <c r="GUE86" s="27"/>
      <c r="GUF86" s="27"/>
      <c r="GUG86" s="27"/>
      <c r="GUH86" s="27"/>
      <c r="GUI86" s="27"/>
      <c r="GUJ86" s="27"/>
      <c r="GUK86" s="27"/>
      <c r="GUL86" s="27"/>
      <c r="GUM86" s="27"/>
      <c r="GUN86" s="27"/>
      <c r="GUO86" s="27"/>
      <c r="GUP86" s="27"/>
      <c r="GUQ86" s="27"/>
      <c r="GUR86" s="27"/>
      <c r="GUS86" s="27"/>
      <c r="GUT86" s="27"/>
      <c r="GUU86" s="27"/>
      <c r="GUV86" s="27"/>
      <c r="GUW86" s="27"/>
      <c r="GUX86" s="27"/>
      <c r="GUY86" s="27"/>
      <c r="GUZ86" s="27"/>
      <c r="GVA86" s="27"/>
      <c r="GVB86" s="27"/>
      <c r="GVC86" s="27"/>
      <c r="GVD86" s="27"/>
      <c r="GVE86" s="27"/>
      <c r="GVF86" s="27"/>
      <c r="GVG86" s="27"/>
      <c r="GVH86" s="27"/>
      <c r="GVI86" s="27"/>
      <c r="GVJ86" s="27"/>
      <c r="GVK86" s="27"/>
      <c r="GVL86" s="27"/>
      <c r="GVM86" s="27"/>
      <c r="GVN86" s="27"/>
      <c r="GVO86" s="27"/>
      <c r="GVP86" s="27"/>
      <c r="GVQ86" s="27"/>
      <c r="GVR86" s="27"/>
      <c r="GVS86" s="27"/>
      <c r="GVT86" s="27"/>
      <c r="GVU86" s="27"/>
      <c r="GVV86" s="27"/>
      <c r="GVW86" s="27"/>
      <c r="GVX86" s="27"/>
      <c r="GVY86" s="27"/>
      <c r="GVZ86" s="27"/>
      <c r="GWA86" s="27"/>
      <c r="GWB86" s="27"/>
      <c r="GWC86" s="27"/>
      <c r="GWD86" s="27"/>
      <c r="GWE86" s="27"/>
      <c r="GWF86" s="27"/>
      <c r="GWG86" s="27"/>
      <c r="GWH86" s="27"/>
      <c r="GWI86" s="27"/>
      <c r="GWJ86" s="27"/>
      <c r="GWK86" s="27"/>
      <c r="GWL86" s="27"/>
      <c r="GWM86" s="27"/>
      <c r="GWN86" s="27"/>
      <c r="GWO86" s="27"/>
      <c r="GWP86" s="27"/>
      <c r="GWQ86" s="27"/>
      <c r="GWR86" s="27"/>
      <c r="GWS86" s="27"/>
      <c r="GWT86" s="27"/>
      <c r="GWU86" s="27"/>
      <c r="GWV86" s="27"/>
      <c r="GWW86" s="27"/>
      <c r="GWX86" s="27"/>
      <c r="GWY86" s="27"/>
      <c r="GWZ86" s="27"/>
      <c r="GXA86" s="27"/>
      <c r="GXB86" s="27"/>
      <c r="GXC86" s="27"/>
      <c r="GXD86" s="27"/>
      <c r="GXE86" s="27"/>
      <c r="GXF86" s="27"/>
      <c r="GXG86" s="27"/>
      <c r="GXH86" s="27"/>
      <c r="GXI86" s="27"/>
      <c r="GXJ86" s="27"/>
      <c r="GXK86" s="27"/>
      <c r="GXL86" s="27"/>
      <c r="GXM86" s="27"/>
      <c r="GXN86" s="27"/>
      <c r="GXO86" s="27"/>
      <c r="GXP86" s="27"/>
      <c r="GXQ86" s="27"/>
      <c r="GXR86" s="27"/>
      <c r="GXS86" s="27"/>
      <c r="GXT86" s="27"/>
      <c r="GXU86" s="27"/>
      <c r="GXV86" s="27"/>
      <c r="GXW86" s="27"/>
      <c r="GXX86" s="27"/>
      <c r="GXY86" s="27"/>
      <c r="GXZ86" s="27"/>
      <c r="GYA86" s="27"/>
      <c r="GYB86" s="27"/>
      <c r="GYC86" s="27"/>
      <c r="GYD86" s="27"/>
      <c r="GYE86" s="27"/>
      <c r="GYF86" s="27"/>
      <c r="GYG86" s="27"/>
      <c r="GYH86" s="27"/>
      <c r="GYI86" s="27"/>
      <c r="GYJ86" s="27"/>
      <c r="GYK86" s="27"/>
      <c r="GYL86" s="27"/>
      <c r="GYM86" s="27"/>
      <c r="GYN86" s="27"/>
      <c r="GYO86" s="27"/>
      <c r="GYP86" s="27"/>
      <c r="GYQ86" s="27"/>
      <c r="GYR86" s="27"/>
      <c r="GYS86" s="27"/>
      <c r="GYT86" s="27"/>
      <c r="GYU86" s="27"/>
      <c r="GYV86" s="27"/>
      <c r="GYW86" s="27"/>
      <c r="GYX86" s="27"/>
      <c r="GYY86" s="27"/>
      <c r="GYZ86" s="27"/>
      <c r="GZA86" s="27"/>
      <c r="GZB86" s="27"/>
      <c r="GZC86" s="27"/>
      <c r="GZD86" s="27"/>
      <c r="GZE86" s="27"/>
      <c r="GZF86" s="27"/>
      <c r="GZG86" s="27"/>
      <c r="GZH86" s="27"/>
      <c r="GZI86" s="27"/>
      <c r="GZJ86" s="27"/>
      <c r="GZK86" s="27"/>
      <c r="GZL86" s="27"/>
      <c r="GZM86" s="27"/>
      <c r="GZN86" s="27"/>
      <c r="GZO86" s="27"/>
      <c r="GZP86" s="27"/>
      <c r="GZQ86" s="27"/>
      <c r="GZR86" s="27"/>
      <c r="GZS86" s="27"/>
      <c r="GZT86" s="27"/>
      <c r="GZU86" s="27"/>
      <c r="GZV86" s="27"/>
      <c r="GZW86" s="27"/>
      <c r="GZX86" s="27"/>
      <c r="GZY86" s="27"/>
      <c r="GZZ86" s="27"/>
      <c r="HAA86" s="27"/>
      <c r="HAB86" s="27"/>
      <c r="HAC86" s="27"/>
      <c r="HAD86" s="27"/>
      <c r="HAE86" s="27"/>
      <c r="HAF86" s="27"/>
      <c r="HAG86" s="27"/>
      <c r="HAH86" s="27"/>
      <c r="HAI86" s="27"/>
      <c r="HAJ86" s="27"/>
      <c r="HAK86" s="27"/>
      <c r="HAL86" s="27"/>
      <c r="HAM86" s="27"/>
      <c r="HAN86" s="27"/>
      <c r="HAO86" s="27"/>
      <c r="HAP86" s="27"/>
      <c r="HAQ86" s="27"/>
      <c r="HAR86" s="27"/>
      <c r="HAS86" s="27"/>
      <c r="HAT86" s="27"/>
      <c r="HAU86" s="27"/>
      <c r="HAV86" s="27"/>
      <c r="HAW86" s="27"/>
      <c r="HAX86" s="27"/>
      <c r="HAY86" s="27"/>
      <c r="HAZ86" s="27"/>
      <c r="HBA86" s="27"/>
      <c r="HBB86" s="27"/>
      <c r="HBC86" s="27"/>
      <c r="HBD86" s="27"/>
      <c r="HBE86" s="27"/>
      <c r="HBF86" s="27"/>
      <c r="HBG86" s="27"/>
      <c r="HBH86" s="27"/>
      <c r="HBI86" s="27"/>
      <c r="HBJ86" s="27"/>
      <c r="HBK86" s="27"/>
      <c r="HBL86" s="27"/>
      <c r="HBM86" s="27"/>
      <c r="HBN86" s="27"/>
      <c r="HBO86" s="27"/>
      <c r="HBP86" s="27"/>
      <c r="HBQ86" s="27"/>
      <c r="HBR86" s="27"/>
      <c r="HBS86" s="27"/>
      <c r="HBT86" s="27"/>
      <c r="HBU86" s="27"/>
      <c r="HBV86" s="27"/>
      <c r="HBW86" s="27"/>
      <c r="HBX86" s="27"/>
      <c r="HBY86" s="27"/>
      <c r="HBZ86" s="27"/>
      <c r="HCA86" s="27"/>
      <c r="HCB86" s="27"/>
      <c r="HCC86" s="27"/>
      <c r="HCD86" s="27"/>
      <c r="HCE86" s="27"/>
      <c r="HCF86" s="27"/>
      <c r="HCG86" s="27"/>
      <c r="HCH86" s="27"/>
      <c r="HCI86" s="27"/>
      <c r="HCJ86" s="27"/>
      <c r="HCK86" s="27"/>
      <c r="HCL86" s="27"/>
      <c r="HCM86" s="27"/>
      <c r="HCN86" s="27"/>
      <c r="HCO86" s="27"/>
      <c r="HCP86" s="27"/>
      <c r="HCQ86" s="27"/>
      <c r="HCR86" s="27"/>
      <c r="HCS86" s="27"/>
      <c r="HCT86" s="27"/>
      <c r="HCU86" s="27"/>
      <c r="HCV86" s="27"/>
      <c r="HCW86" s="27"/>
      <c r="HCX86" s="27"/>
      <c r="HCY86" s="27"/>
      <c r="HCZ86" s="27"/>
      <c r="HDA86" s="27"/>
      <c r="HDB86" s="27"/>
      <c r="HDC86" s="27"/>
      <c r="HDD86" s="27"/>
      <c r="HDE86" s="27"/>
      <c r="HDF86" s="27"/>
      <c r="HDG86" s="27"/>
      <c r="HDH86" s="27"/>
      <c r="HDI86" s="27"/>
      <c r="HDJ86" s="27"/>
      <c r="HDK86" s="27"/>
      <c r="HDL86" s="27"/>
      <c r="HDM86" s="27"/>
      <c r="HDN86" s="27"/>
      <c r="HDO86" s="27"/>
      <c r="HDP86" s="27"/>
      <c r="HDQ86" s="27"/>
      <c r="HDR86" s="27"/>
      <c r="HDS86" s="27"/>
      <c r="HDT86" s="27"/>
      <c r="HDU86" s="27"/>
      <c r="HDV86" s="27"/>
      <c r="HDW86" s="27"/>
      <c r="HDX86" s="27"/>
      <c r="HDY86" s="27"/>
      <c r="HDZ86" s="27"/>
      <c r="HEA86" s="27"/>
      <c r="HEB86" s="27"/>
      <c r="HEC86" s="27"/>
      <c r="HED86" s="27"/>
      <c r="HEE86" s="27"/>
      <c r="HEF86" s="27"/>
      <c r="HEG86" s="27"/>
      <c r="HEH86" s="27"/>
      <c r="HEI86" s="27"/>
      <c r="HEJ86" s="27"/>
      <c r="HEK86" s="27"/>
      <c r="HEL86" s="27"/>
      <c r="HEM86" s="27"/>
      <c r="HEN86" s="27"/>
      <c r="HEO86" s="27"/>
      <c r="HEP86" s="27"/>
      <c r="HEQ86" s="27"/>
      <c r="HER86" s="27"/>
      <c r="HES86" s="27"/>
      <c r="HET86" s="27"/>
      <c r="HEU86" s="27"/>
      <c r="HEV86" s="27"/>
      <c r="HEW86" s="27"/>
      <c r="HEX86" s="27"/>
      <c r="HEY86" s="27"/>
      <c r="HEZ86" s="27"/>
      <c r="HFA86" s="27"/>
      <c r="HFB86" s="27"/>
      <c r="HFC86" s="27"/>
      <c r="HFD86" s="27"/>
      <c r="HFE86" s="27"/>
      <c r="HFF86" s="27"/>
      <c r="HFG86" s="27"/>
      <c r="HFH86" s="27"/>
      <c r="HFI86" s="27"/>
      <c r="HFJ86" s="27"/>
      <c r="HFK86" s="27"/>
      <c r="HFL86" s="27"/>
      <c r="HFM86" s="27"/>
      <c r="HFN86" s="27"/>
      <c r="HFO86" s="27"/>
      <c r="HFP86" s="27"/>
      <c r="HFQ86" s="27"/>
      <c r="HFR86" s="27"/>
      <c r="HFS86" s="27"/>
      <c r="HFT86" s="27"/>
      <c r="HFU86" s="27"/>
      <c r="HFV86" s="27"/>
      <c r="HFW86" s="27"/>
      <c r="HFX86" s="27"/>
      <c r="HFY86" s="27"/>
      <c r="HFZ86" s="27"/>
      <c r="HGA86" s="27"/>
      <c r="HGB86" s="27"/>
      <c r="HGC86" s="27"/>
      <c r="HGD86" s="27"/>
      <c r="HGE86" s="27"/>
      <c r="HGF86" s="27"/>
      <c r="HGG86" s="27"/>
      <c r="HGH86" s="27"/>
      <c r="HGI86" s="27"/>
      <c r="HGJ86" s="27"/>
      <c r="HGK86" s="27"/>
      <c r="HGL86" s="27"/>
      <c r="HGM86" s="27"/>
      <c r="HGN86" s="27"/>
      <c r="HGO86" s="27"/>
      <c r="HGP86" s="27"/>
      <c r="HGQ86" s="27"/>
      <c r="HGR86" s="27"/>
      <c r="HGS86" s="27"/>
      <c r="HGT86" s="27"/>
      <c r="HGU86" s="27"/>
      <c r="HGV86" s="27"/>
      <c r="HGW86" s="27"/>
      <c r="HGX86" s="27"/>
      <c r="HGY86" s="27"/>
      <c r="HGZ86" s="27"/>
      <c r="HHA86" s="27"/>
      <c r="HHB86" s="27"/>
      <c r="HHC86" s="27"/>
      <c r="HHD86" s="27"/>
      <c r="HHE86" s="27"/>
      <c r="HHF86" s="27"/>
      <c r="HHG86" s="27"/>
      <c r="HHH86" s="27"/>
      <c r="HHI86" s="27"/>
      <c r="HHJ86" s="27"/>
      <c r="HHK86" s="27"/>
      <c r="HHL86" s="27"/>
      <c r="HHM86" s="27"/>
      <c r="HHN86" s="27"/>
      <c r="HHO86" s="27"/>
      <c r="HHP86" s="27"/>
      <c r="HHQ86" s="27"/>
      <c r="HHR86" s="27"/>
      <c r="HHS86" s="27"/>
      <c r="HHT86" s="27"/>
      <c r="HHU86" s="27"/>
      <c r="HHV86" s="27"/>
      <c r="HHW86" s="27"/>
      <c r="HHX86" s="27"/>
      <c r="HHY86" s="27"/>
      <c r="HHZ86" s="27"/>
      <c r="HIA86" s="27"/>
      <c r="HIB86" s="27"/>
      <c r="HIC86" s="27"/>
      <c r="HID86" s="27"/>
      <c r="HIE86" s="27"/>
      <c r="HIF86" s="27"/>
      <c r="HIG86" s="27"/>
      <c r="HIH86" s="27"/>
      <c r="HII86" s="27"/>
      <c r="HIJ86" s="27"/>
      <c r="HIK86" s="27"/>
      <c r="HIL86" s="27"/>
      <c r="HIM86" s="27"/>
      <c r="HIN86" s="27"/>
      <c r="HIO86" s="27"/>
      <c r="HIP86" s="27"/>
      <c r="HIQ86" s="27"/>
      <c r="HIR86" s="27"/>
      <c r="HIS86" s="27"/>
      <c r="HIT86" s="27"/>
      <c r="HIU86" s="27"/>
      <c r="HIV86" s="27"/>
      <c r="HIW86" s="27"/>
      <c r="HIX86" s="27"/>
      <c r="HIY86" s="27"/>
      <c r="HIZ86" s="27"/>
      <c r="HJA86" s="27"/>
      <c r="HJB86" s="27"/>
      <c r="HJC86" s="27"/>
      <c r="HJD86" s="27"/>
      <c r="HJE86" s="27"/>
      <c r="HJF86" s="27"/>
      <c r="HJG86" s="27"/>
      <c r="HJH86" s="27"/>
      <c r="HJI86" s="27"/>
      <c r="HJJ86" s="27"/>
      <c r="HJK86" s="27"/>
      <c r="HJL86" s="27"/>
      <c r="HJM86" s="27"/>
      <c r="HJN86" s="27"/>
      <c r="HJO86" s="27"/>
      <c r="HJP86" s="27"/>
      <c r="HJQ86" s="27"/>
      <c r="HJR86" s="27"/>
      <c r="HJS86" s="27"/>
      <c r="HJT86" s="27"/>
      <c r="HJU86" s="27"/>
      <c r="HJV86" s="27"/>
      <c r="HJW86" s="27"/>
      <c r="HJX86" s="27"/>
      <c r="HJY86" s="27"/>
      <c r="HJZ86" s="27"/>
      <c r="HKA86" s="27"/>
      <c r="HKB86" s="27"/>
      <c r="HKC86" s="27"/>
      <c r="HKD86" s="27"/>
      <c r="HKE86" s="27"/>
      <c r="HKF86" s="27"/>
      <c r="HKG86" s="27"/>
      <c r="HKH86" s="27"/>
      <c r="HKI86" s="27"/>
      <c r="HKJ86" s="27"/>
      <c r="HKK86" s="27"/>
      <c r="HKL86" s="27"/>
      <c r="HKM86" s="27"/>
      <c r="HKN86" s="27"/>
      <c r="HKO86" s="27"/>
      <c r="HKP86" s="27"/>
      <c r="HKQ86" s="27"/>
      <c r="HKR86" s="27"/>
      <c r="HKS86" s="27"/>
      <c r="HKT86" s="27"/>
      <c r="HKU86" s="27"/>
      <c r="HKV86" s="27"/>
      <c r="HKW86" s="27"/>
      <c r="HKX86" s="27"/>
      <c r="HKY86" s="27"/>
      <c r="HKZ86" s="27"/>
      <c r="HLA86" s="27"/>
      <c r="HLB86" s="27"/>
      <c r="HLC86" s="27"/>
      <c r="HLD86" s="27"/>
      <c r="HLE86" s="27"/>
      <c r="HLF86" s="27"/>
      <c r="HLG86" s="27"/>
      <c r="HLH86" s="27"/>
      <c r="HLI86" s="27"/>
      <c r="HLJ86" s="27"/>
      <c r="HLK86" s="27"/>
      <c r="HLL86" s="27"/>
      <c r="HLM86" s="27"/>
      <c r="HLN86" s="27"/>
      <c r="HLO86" s="27"/>
      <c r="HLP86" s="27"/>
      <c r="HLQ86" s="27"/>
      <c r="HLR86" s="27"/>
      <c r="HLS86" s="27"/>
      <c r="HLT86" s="27"/>
      <c r="HLU86" s="27"/>
      <c r="HLV86" s="27"/>
      <c r="HLW86" s="27"/>
      <c r="HLX86" s="27"/>
      <c r="HLY86" s="27"/>
      <c r="HLZ86" s="27"/>
      <c r="HMA86" s="27"/>
      <c r="HMB86" s="27"/>
      <c r="HMC86" s="27"/>
      <c r="HMD86" s="27"/>
      <c r="HME86" s="27"/>
      <c r="HMF86" s="27"/>
      <c r="HMG86" s="27"/>
      <c r="HMH86" s="27"/>
      <c r="HMI86" s="27"/>
      <c r="HMJ86" s="27"/>
      <c r="HMK86" s="27"/>
      <c r="HML86" s="27"/>
      <c r="HMM86" s="27"/>
      <c r="HMN86" s="27"/>
      <c r="HMO86" s="27"/>
      <c r="HMP86" s="27"/>
      <c r="HMQ86" s="27"/>
      <c r="HMR86" s="27"/>
      <c r="HMS86" s="27"/>
      <c r="HMT86" s="27"/>
      <c r="HMU86" s="27"/>
      <c r="HMV86" s="27"/>
      <c r="HMW86" s="27"/>
      <c r="HMX86" s="27"/>
      <c r="HMY86" s="27"/>
      <c r="HMZ86" s="27"/>
      <c r="HNA86" s="27"/>
      <c r="HNB86" s="27"/>
      <c r="HNC86" s="27"/>
      <c r="HND86" s="27"/>
      <c r="HNE86" s="27"/>
      <c r="HNF86" s="27"/>
      <c r="HNG86" s="27"/>
      <c r="HNH86" s="27"/>
      <c r="HNI86" s="27"/>
      <c r="HNJ86" s="27"/>
      <c r="HNK86" s="27"/>
      <c r="HNL86" s="27"/>
      <c r="HNM86" s="27"/>
      <c r="HNN86" s="27"/>
      <c r="HNO86" s="27"/>
      <c r="HNP86" s="27"/>
      <c r="HNQ86" s="27"/>
      <c r="HNR86" s="27"/>
      <c r="HNS86" s="27"/>
      <c r="HNT86" s="27"/>
      <c r="HNU86" s="27"/>
      <c r="HNV86" s="27"/>
      <c r="HNW86" s="27"/>
      <c r="HNX86" s="27"/>
      <c r="HNY86" s="27"/>
      <c r="HNZ86" s="27"/>
      <c r="HOA86" s="27"/>
      <c r="HOB86" s="27"/>
      <c r="HOC86" s="27"/>
      <c r="HOD86" s="27"/>
      <c r="HOE86" s="27"/>
      <c r="HOF86" s="27"/>
      <c r="HOG86" s="27"/>
      <c r="HOH86" s="27"/>
      <c r="HOI86" s="27"/>
      <c r="HOJ86" s="27"/>
      <c r="HOK86" s="27"/>
      <c r="HOL86" s="27"/>
      <c r="HOM86" s="27"/>
      <c r="HON86" s="27"/>
      <c r="HOO86" s="27"/>
      <c r="HOP86" s="27"/>
      <c r="HOQ86" s="27"/>
      <c r="HOR86" s="27"/>
      <c r="HOS86" s="27"/>
      <c r="HOT86" s="27"/>
      <c r="HOU86" s="27"/>
      <c r="HOV86" s="27"/>
      <c r="HOW86" s="27"/>
      <c r="HOX86" s="27"/>
      <c r="HOY86" s="27"/>
      <c r="HOZ86" s="27"/>
      <c r="HPA86" s="27"/>
      <c r="HPB86" s="27"/>
      <c r="HPC86" s="27"/>
      <c r="HPD86" s="27"/>
      <c r="HPE86" s="27"/>
      <c r="HPF86" s="27"/>
      <c r="HPG86" s="27"/>
      <c r="HPH86" s="27"/>
      <c r="HPI86" s="27"/>
      <c r="HPJ86" s="27"/>
      <c r="HPK86" s="27"/>
      <c r="HPL86" s="27"/>
      <c r="HPM86" s="27"/>
      <c r="HPN86" s="27"/>
      <c r="HPO86" s="27"/>
      <c r="HPP86" s="27"/>
      <c r="HPQ86" s="27"/>
      <c r="HPR86" s="27"/>
      <c r="HPS86" s="27"/>
      <c r="HPT86" s="27"/>
      <c r="HPU86" s="27"/>
      <c r="HPV86" s="27"/>
      <c r="HPW86" s="27"/>
      <c r="HPX86" s="27"/>
      <c r="HPY86" s="27"/>
      <c r="HPZ86" s="27"/>
      <c r="HQA86" s="27"/>
      <c r="HQB86" s="27"/>
      <c r="HQC86" s="27"/>
      <c r="HQD86" s="27"/>
      <c r="HQE86" s="27"/>
      <c r="HQF86" s="27"/>
      <c r="HQG86" s="27"/>
      <c r="HQH86" s="27"/>
      <c r="HQI86" s="27"/>
      <c r="HQJ86" s="27"/>
      <c r="HQK86" s="27"/>
      <c r="HQL86" s="27"/>
      <c r="HQM86" s="27"/>
      <c r="HQN86" s="27"/>
      <c r="HQO86" s="27"/>
      <c r="HQP86" s="27"/>
      <c r="HQQ86" s="27"/>
      <c r="HQR86" s="27"/>
      <c r="HQS86" s="27"/>
      <c r="HQT86" s="27"/>
      <c r="HQU86" s="27"/>
      <c r="HQV86" s="27"/>
      <c r="HQW86" s="27"/>
      <c r="HQX86" s="27"/>
      <c r="HQY86" s="27"/>
      <c r="HQZ86" s="27"/>
      <c r="HRA86" s="27"/>
      <c r="HRB86" s="27"/>
      <c r="HRC86" s="27"/>
      <c r="HRD86" s="27"/>
      <c r="HRE86" s="27"/>
      <c r="HRF86" s="27"/>
      <c r="HRG86" s="27"/>
      <c r="HRH86" s="27"/>
      <c r="HRI86" s="27"/>
      <c r="HRJ86" s="27"/>
      <c r="HRK86" s="27"/>
      <c r="HRL86" s="27"/>
      <c r="HRM86" s="27"/>
      <c r="HRN86" s="27"/>
      <c r="HRO86" s="27"/>
      <c r="HRP86" s="27"/>
      <c r="HRQ86" s="27"/>
      <c r="HRR86" s="27"/>
      <c r="HRS86" s="27"/>
      <c r="HRT86" s="27"/>
      <c r="HRU86" s="27"/>
      <c r="HRV86" s="27"/>
      <c r="HRW86" s="27"/>
      <c r="HRX86" s="27"/>
      <c r="HRY86" s="27"/>
      <c r="HRZ86" s="27"/>
      <c r="HSA86" s="27"/>
      <c r="HSB86" s="27"/>
      <c r="HSC86" s="27"/>
      <c r="HSD86" s="27"/>
      <c r="HSE86" s="27"/>
      <c r="HSF86" s="27"/>
      <c r="HSG86" s="27"/>
      <c r="HSH86" s="27"/>
      <c r="HSI86" s="27"/>
      <c r="HSJ86" s="27"/>
      <c r="HSK86" s="27"/>
      <c r="HSL86" s="27"/>
      <c r="HSM86" s="27"/>
      <c r="HSN86" s="27"/>
      <c r="HSO86" s="27"/>
      <c r="HSP86" s="27"/>
      <c r="HSQ86" s="27"/>
      <c r="HSR86" s="27"/>
      <c r="HSS86" s="27"/>
      <c r="HST86" s="27"/>
      <c r="HSU86" s="27"/>
      <c r="HSV86" s="27"/>
      <c r="HSW86" s="27"/>
      <c r="HSX86" s="27"/>
      <c r="HSY86" s="27"/>
      <c r="HSZ86" s="27"/>
      <c r="HTA86" s="27"/>
      <c r="HTB86" s="27"/>
      <c r="HTC86" s="27"/>
      <c r="HTD86" s="27"/>
      <c r="HTE86" s="27"/>
      <c r="HTF86" s="27"/>
      <c r="HTG86" s="27"/>
      <c r="HTH86" s="27"/>
      <c r="HTI86" s="27"/>
      <c r="HTJ86" s="27"/>
      <c r="HTK86" s="27"/>
      <c r="HTL86" s="27"/>
      <c r="HTM86" s="27"/>
      <c r="HTN86" s="27"/>
      <c r="HTO86" s="27"/>
      <c r="HTP86" s="27"/>
      <c r="HTQ86" s="27"/>
      <c r="HTR86" s="27"/>
      <c r="HTS86" s="27"/>
      <c r="HTT86" s="27"/>
      <c r="HTU86" s="27"/>
      <c r="HTV86" s="27"/>
      <c r="HTW86" s="27"/>
      <c r="HTX86" s="27"/>
      <c r="HTY86" s="27"/>
      <c r="HTZ86" s="27"/>
      <c r="HUA86" s="27"/>
      <c r="HUB86" s="27"/>
      <c r="HUC86" s="27"/>
      <c r="HUD86" s="27"/>
      <c r="HUE86" s="27"/>
      <c r="HUF86" s="27"/>
      <c r="HUG86" s="27"/>
      <c r="HUH86" s="27"/>
      <c r="HUI86" s="27"/>
      <c r="HUJ86" s="27"/>
      <c r="HUK86" s="27"/>
      <c r="HUL86" s="27"/>
      <c r="HUM86" s="27"/>
      <c r="HUN86" s="27"/>
      <c r="HUO86" s="27"/>
      <c r="HUP86" s="27"/>
      <c r="HUQ86" s="27"/>
      <c r="HUR86" s="27"/>
      <c r="HUS86" s="27"/>
      <c r="HUT86" s="27"/>
      <c r="HUU86" s="27"/>
      <c r="HUV86" s="27"/>
      <c r="HUW86" s="27"/>
      <c r="HUX86" s="27"/>
      <c r="HUY86" s="27"/>
      <c r="HUZ86" s="27"/>
      <c r="HVA86" s="27"/>
      <c r="HVB86" s="27"/>
      <c r="HVC86" s="27"/>
      <c r="HVD86" s="27"/>
      <c r="HVE86" s="27"/>
      <c r="HVF86" s="27"/>
      <c r="HVG86" s="27"/>
      <c r="HVH86" s="27"/>
      <c r="HVI86" s="27"/>
      <c r="HVJ86" s="27"/>
      <c r="HVK86" s="27"/>
      <c r="HVL86" s="27"/>
      <c r="HVM86" s="27"/>
      <c r="HVN86" s="27"/>
      <c r="HVO86" s="27"/>
      <c r="HVP86" s="27"/>
      <c r="HVQ86" s="27"/>
      <c r="HVR86" s="27"/>
      <c r="HVS86" s="27"/>
      <c r="HVT86" s="27"/>
      <c r="HVU86" s="27"/>
      <c r="HVV86" s="27"/>
      <c r="HVW86" s="27"/>
      <c r="HVX86" s="27"/>
      <c r="HVY86" s="27"/>
      <c r="HVZ86" s="27"/>
      <c r="HWA86" s="27"/>
      <c r="HWB86" s="27"/>
      <c r="HWC86" s="27"/>
      <c r="HWD86" s="27"/>
      <c r="HWE86" s="27"/>
      <c r="HWF86" s="27"/>
      <c r="HWG86" s="27"/>
      <c r="HWH86" s="27"/>
      <c r="HWI86" s="27"/>
      <c r="HWJ86" s="27"/>
      <c r="HWK86" s="27"/>
      <c r="HWL86" s="27"/>
      <c r="HWM86" s="27"/>
      <c r="HWN86" s="27"/>
      <c r="HWO86" s="27"/>
      <c r="HWP86" s="27"/>
      <c r="HWQ86" s="27"/>
      <c r="HWR86" s="27"/>
      <c r="HWS86" s="27"/>
      <c r="HWT86" s="27"/>
      <c r="HWU86" s="27"/>
      <c r="HWV86" s="27"/>
      <c r="HWW86" s="27"/>
      <c r="HWX86" s="27"/>
      <c r="HWY86" s="27"/>
      <c r="HWZ86" s="27"/>
      <c r="HXA86" s="27"/>
      <c r="HXB86" s="27"/>
      <c r="HXC86" s="27"/>
      <c r="HXD86" s="27"/>
      <c r="HXE86" s="27"/>
      <c r="HXF86" s="27"/>
      <c r="HXG86" s="27"/>
      <c r="HXH86" s="27"/>
      <c r="HXI86" s="27"/>
      <c r="HXJ86" s="27"/>
      <c r="HXK86" s="27"/>
      <c r="HXL86" s="27"/>
      <c r="HXM86" s="27"/>
      <c r="HXN86" s="27"/>
      <c r="HXO86" s="27"/>
      <c r="HXP86" s="27"/>
      <c r="HXQ86" s="27"/>
      <c r="HXR86" s="27"/>
      <c r="HXS86" s="27"/>
      <c r="HXT86" s="27"/>
      <c r="HXU86" s="27"/>
      <c r="HXV86" s="27"/>
      <c r="HXW86" s="27"/>
      <c r="HXX86" s="27"/>
      <c r="HXY86" s="27"/>
      <c r="HXZ86" s="27"/>
      <c r="HYA86" s="27"/>
      <c r="HYB86" s="27"/>
      <c r="HYC86" s="27"/>
      <c r="HYD86" s="27"/>
      <c r="HYE86" s="27"/>
      <c r="HYF86" s="27"/>
      <c r="HYG86" s="27"/>
      <c r="HYH86" s="27"/>
      <c r="HYI86" s="27"/>
      <c r="HYJ86" s="27"/>
      <c r="HYK86" s="27"/>
      <c r="HYL86" s="27"/>
      <c r="HYM86" s="27"/>
      <c r="HYN86" s="27"/>
      <c r="HYO86" s="27"/>
      <c r="HYP86" s="27"/>
      <c r="HYQ86" s="27"/>
      <c r="HYR86" s="27"/>
      <c r="HYS86" s="27"/>
      <c r="HYT86" s="27"/>
      <c r="HYU86" s="27"/>
      <c r="HYV86" s="27"/>
      <c r="HYW86" s="27"/>
      <c r="HYX86" s="27"/>
      <c r="HYY86" s="27"/>
      <c r="HYZ86" s="27"/>
      <c r="HZA86" s="27"/>
      <c r="HZB86" s="27"/>
      <c r="HZC86" s="27"/>
      <c r="HZD86" s="27"/>
      <c r="HZE86" s="27"/>
      <c r="HZF86" s="27"/>
      <c r="HZG86" s="27"/>
      <c r="HZH86" s="27"/>
      <c r="HZI86" s="27"/>
      <c r="HZJ86" s="27"/>
      <c r="HZK86" s="27"/>
      <c r="HZL86" s="27"/>
      <c r="HZM86" s="27"/>
      <c r="HZN86" s="27"/>
      <c r="HZO86" s="27"/>
      <c r="HZP86" s="27"/>
      <c r="HZQ86" s="27"/>
      <c r="HZR86" s="27"/>
      <c r="HZS86" s="27"/>
      <c r="HZT86" s="27"/>
      <c r="HZU86" s="27"/>
      <c r="HZV86" s="27"/>
      <c r="HZW86" s="27"/>
      <c r="HZX86" s="27"/>
      <c r="HZY86" s="27"/>
      <c r="HZZ86" s="27"/>
      <c r="IAA86" s="27"/>
      <c r="IAB86" s="27"/>
      <c r="IAC86" s="27"/>
      <c r="IAD86" s="27"/>
      <c r="IAE86" s="27"/>
      <c r="IAF86" s="27"/>
      <c r="IAG86" s="27"/>
      <c r="IAH86" s="27"/>
      <c r="IAI86" s="27"/>
      <c r="IAJ86" s="27"/>
      <c r="IAK86" s="27"/>
      <c r="IAL86" s="27"/>
      <c r="IAM86" s="27"/>
      <c r="IAN86" s="27"/>
      <c r="IAO86" s="27"/>
      <c r="IAP86" s="27"/>
      <c r="IAQ86" s="27"/>
      <c r="IAR86" s="27"/>
      <c r="IAS86" s="27"/>
      <c r="IAT86" s="27"/>
      <c r="IAU86" s="27"/>
      <c r="IAV86" s="27"/>
      <c r="IAW86" s="27"/>
      <c r="IAX86" s="27"/>
      <c r="IAY86" s="27"/>
      <c r="IAZ86" s="27"/>
      <c r="IBA86" s="27"/>
      <c r="IBB86" s="27"/>
      <c r="IBC86" s="27"/>
      <c r="IBD86" s="27"/>
      <c r="IBE86" s="27"/>
      <c r="IBF86" s="27"/>
      <c r="IBG86" s="27"/>
      <c r="IBH86" s="27"/>
      <c r="IBI86" s="27"/>
      <c r="IBJ86" s="27"/>
      <c r="IBK86" s="27"/>
      <c r="IBL86" s="27"/>
      <c r="IBM86" s="27"/>
      <c r="IBN86" s="27"/>
      <c r="IBO86" s="27"/>
      <c r="IBP86" s="27"/>
      <c r="IBQ86" s="27"/>
      <c r="IBR86" s="27"/>
      <c r="IBS86" s="27"/>
      <c r="IBT86" s="27"/>
      <c r="IBU86" s="27"/>
      <c r="IBV86" s="27"/>
      <c r="IBW86" s="27"/>
      <c r="IBX86" s="27"/>
      <c r="IBY86" s="27"/>
      <c r="IBZ86" s="27"/>
      <c r="ICA86" s="27"/>
      <c r="ICB86" s="27"/>
      <c r="ICC86" s="27"/>
      <c r="ICD86" s="27"/>
      <c r="ICE86" s="27"/>
      <c r="ICF86" s="27"/>
      <c r="ICG86" s="27"/>
      <c r="ICH86" s="27"/>
      <c r="ICI86" s="27"/>
      <c r="ICJ86" s="27"/>
      <c r="ICK86" s="27"/>
      <c r="ICL86" s="27"/>
      <c r="ICM86" s="27"/>
      <c r="ICN86" s="27"/>
      <c r="ICO86" s="27"/>
      <c r="ICP86" s="27"/>
      <c r="ICQ86" s="27"/>
      <c r="ICR86" s="27"/>
      <c r="ICS86" s="27"/>
      <c r="ICT86" s="27"/>
      <c r="ICU86" s="27"/>
      <c r="ICV86" s="27"/>
      <c r="ICW86" s="27"/>
      <c r="ICX86" s="27"/>
      <c r="ICY86" s="27"/>
      <c r="ICZ86" s="27"/>
      <c r="IDA86" s="27"/>
      <c r="IDB86" s="27"/>
      <c r="IDC86" s="27"/>
      <c r="IDD86" s="27"/>
      <c r="IDE86" s="27"/>
      <c r="IDF86" s="27"/>
      <c r="IDG86" s="27"/>
      <c r="IDH86" s="27"/>
      <c r="IDI86" s="27"/>
      <c r="IDJ86" s="27"/>
      <c r="IDK86" s="27"/>
      <c r="IDL86" s="27"/>
      <c r="IDM86" s="27"/>
      <c r="IDN86" s="27"/>
      <c r="IDO86" s="27"/>
      <c r="IDP86" s="27"/>
      <c r="IDQ86" s="27"/>
      <c r="IDR86" s="27"/>
      <c r="IDS86" s="27"/>
      <c r="IDT86" s="27"/>
      <c r="IDU86" s="27"/>
      <c r="IDV86" s="27"/>
      <c r="IDW86" s="27"/>
      <c r="IDX86" s="27"/>
      <c r="IDY86" s="27"/>
      <c r="IDZ86" s="27"/>
      <c r="IEA86" s="27"/>
      <c r="IEB86" s="27"/>
      <c r="IEC86" s="27"/>
      <c r="IED86" s="27"/>
      <c r="IEE86" s="27"/>
      <c r="IEF86" s="27"/>
      <c r="IEG86" s="27"/>
      <c r="IEH86" s="27"/>
      <c r="IEI86" s="27"/>
      <c r="IEJ86" s="27"/>
      <c r="IEK86" s="27"/>
      <c r="IEL86" s="27"/>
      <c r="IEM86" s="27"/>
      <c r="IEN86" s="27"/>
      <c r="IEO86" s="27"/>
      <c r="IEP86" s="27"/>
      <c r="IEQ86" s="27"/>
      <c r="IER86" s="27"/>
      <c r="IES86" s="27"/>
      <c r="IET86" s="27"/>
      <c r="IEU86" s="27"/>
      <c r="IEV86" s="27"/>
      <c r="IEW86" s="27"/>
      <c r="IEX86" s="27"/>
      <c r="IEY86" s="27"/>
      <c r="IEZ86" s="27"/>
      <c r="IFA86" s="27"/>
      <c r="IFB86" s="27"/>
      <c r="IFC86" s="27"/>
      <c r="IFD86" s="27"/>
      <c r="IFE86" s="27"/>
      <c r="IFF86" s="27"/>
      <c r="IFG86" s="27"/>
      <c r="IFH86" s="27"/>
      <c r="IFI86" s="27"/>
      <c r="IFJ86" s="27"/>
      <c r="IFK86" s="27"/>
      <c r="IFL86" s="27"/>
      <c r="IFM86" s="27"/>
      <c r="IFN86" s="27"/>
      <c r="IFO86" s="27"/>
      <c r="IFP86" s="27"/>
      <c r="IFQ86" s="27"/>
      <c r="IFR86" s="27"/>
      <c r="IFS86" s="27"/>
      <c r="IFT86" s="27"/>
      <c r="IFU86" s="27"/>
      <c r="IFV86" s="27"/>
      <c r="IFW86" s="27"/>
      <c r="IFX86" s="27"/>
      <c r="IFY86" s="27"/>
      <c r="IFZ86" s="27"/>
      <c r="IGA86" s="27"/>
      <c r="IGB86" s="27"/>
      <c r="IGC86" s="27"/>
      <c r="IGD86" s="27"/>
      <c r="IGE86" s="27"/>
      <c r="IGF86" s="27"/>
      <c r="IGG86" s="27"/>
      <c r="IGH86" s="27"/>
      <c r="IGI86" s="27"/>
      <c r="IGJ86" s="27"/>
      <c r="IGK86" s="27"/>
      <c r="IGL86" s="27"/>
      <c r="IGM86" s="27"/>
      <c r="IGN86" s="27"/>
      <c r="IGO86" s="27"/>
      <c r="IGP86" s="27"/>
      <c r="IGQ86" s="27"/>
      <c r="IGR86" s="27"/>
      <c r="IGS86" s="27"/>
      <c r="IGT86" s="27"/>
      <c r="IGU86" s="27"/>
      <c r="IGV86" s="27"/>
      <c r="IGW86" s="27"/>
      <c r="IGX86" s="27"/>
      <c r="IGY86" s="27"/>
      <c r="IGZ86" s="27"/>
      <c r="IHA86" s="27"/>
      <c r="IHB86" s="27"/>
      <c r="IHC86" s="27"/>
      <c r="IHD86" s="27"/>
      <c r="IHE86" s="27"/>
      <c r="IHF86" s="27"/>
      <c r="IHG86" s="27"/>
      <c r="IHH86" s="27"/>
      <c r="IHI86" s="27"/>
      <c r="IHJ86" s="27"/>
      <c r="IHK86" s="27"/>
      <c r="IHL86" s="27"/>
      <c r="IHM86" s="27"/>
      <c r="IHN86" s="27"/>
      <c r="IHO86" s="27"/>
      <c r="IHP86" s="27"/>
      <c r="IHQ86" s="27"/>
      <c r="IHR86" s="27"/>
      <c r="IHS86" s="27"/>
      <c r="IHT86" s="27"/>
      <c r="IHU86" s="27"/>
      <c r="IHV86" s="27"/>
      <c r="IHW86" s="27"/>
      <c r="IHX86" s="27"/>
      <c r="IHY86" s="27"/>
      <c r="IHZ86" s="27"/>
      <c r="IIA86" s="27"/>
      <c r="IIB86" s="27"/>
      <c r="IIC86" s="27"/>
      <c r="IID86" s="27"/>
      <c r="IIE86" s="27"/>
      <c r="IIF86" s="27"/>
      <c r="IIG86" s="27"/>
      <c r="IIH86" s="27"/>
      <c r="III86" s="27"/>
      <c r="IIJ86" s="27"/>
      <c r="IIK86" s="27"/>
      <c r="IIL86" s="27"/>
      <c r="IIM86" s="27"/>
      <c r="IIN86" s="27"/>
      <c r="IIO86" s="27"/>
      <c r="IIP86" s="27"/>
      <c r="IIQ86" s="27"/>
      <c r="IIR86" s="27"/>
      <c r="IIS86" s="27"/>
      <c r="IIT86" s="27"/>
      <c r="IIU86" s="27"/>
      <c r="IIV86" s="27"/>
      <c r="IIW86" s="27"/>
      <c r="IIX86" s="27"/>
      <c r="IIY86" s="27"/>
      <c r="IIZ86" s="27"/>
      <c r="IJA86" s="27"/>
      <c r="IJB86" s="27"/>
      <c r="IJC86" s="27"/>
      <c r="IJD86" s="27"/>
      <c r="IJE86" s="27"/>
      <c r="IJF86" s="27"/>
      <c r="IJG86" s="27"/>
      <c r="IJH86" s="27"/>
      <c r="IJI86" s="27"/>
      <c r="IJJ86" s="27"/>
      <c r="IJK86" s="27"/>
      <c r="IJL86" s="27"/>
      <c r="IJM86" s="27"/>
      <c r="IJN86" s="27"/>
      <c r="IJO86" s="27"/>
      <c r="IJP86" s="27"/>
      <c r="IJQ86" s="27"/>
      <c r="IJR86" s="27"/>
      <c r="IJS86" s="27"/>
      <c r="IJT86" s="27"/>
      <c r="IJU86" s="27"/>
      <c r="IJV86" s="27"/>
      <c r="IJW86" s="27"/>
      <c r="IJX86" s="27"/>
      <c r="IJY86" s="27"/>
      <c r="IJZ86" s="27"/>
      <c r="IKA86" s="27"/>
      <c r="IKB86" s="27"/>
      <c r="IKC86" s="27"/>
      <c r="IKD86" s="27"/>
      <c r="IKE86" s="27"/>
      <c r="IKF86" s="27"/>
      <c r="IKG86" s="27"/>
      <c r="IKH86" s="27"/>
      <c r="IKI86" s="27"/>
      <c r="IKJ86" s="27"/>
      <c r="IKK86" s="27"/>
      <c r="IKL86" s="27"/>
      <c r="IKM86" s="27"/>
      <c r="IKN86" s="27"/>
      <c r="IKO86" s="27"/>
      <c r="IKP86" s="27"/>
      <c r="IKQ86" s="27"/>
      <c r="IKR86" s="27"/>
      <c r="IKS86" s="27"/>
      <c r="IKT86" s="27"/>
      <c r="IKU86" s="27"/>
      <c r="IKV86" s="27"/>
      <c r="IKW86" s="27"/>
      <c r="IKX86" s="27"/>
      <c r="IKY86" s="27"/>
      <c r="IKZ86" s="27"/>
      <c r="ILA86" s="27"/>
      <c r="ILB86" s="27"/>
      <c r="ILC86" s="27"/>
      <c r="ILD86" s="27"/>
      <c r="ILE86" s="27"/>
      <c r="ILF86" s="27"/>
      <c r="ILG86" s="27"/>
      <c r="ILH86" s="27"/>
      <c r="ILI86" s="27"/>
      <c r="ILJ86" s="27"/>
      <c r="ILK86" s="27"/>
      <c r="ILL86" s="27"/>
      <c r="ILM86" s="27"/>
      <c r="ILN86" s="27"/>
      <c r="ILO86" s="27"/>
      <c r="ILP86" s="27"/>
      <c r="ILQ86" s="27"/>
      <c r="ILR86" s="27"/>
      <c r="ILS86" s="27"/>
      <c r="ILT86" s="27"/>
      <c r="ILU86" s="27"/>
      <c r="ILV86" s="27"/>
      <c r="ILW86" s="27"/>
      <c r="ILX86" s="27"/>
      <c r="ILY86" s="27"/>
      <c r="ILZ86" s="27"/>
      <c r="IMA86" s="27"/>
      <c r="IMB86" s="27"/>
      <c r="IMC86" s="27"/>
      <c r="IMD86" s="27"/>
      <c r="IME86" s="27"/>
      <c r="IMF86" s="27"/>
      <c r="IMG86" s="27"/>
      <c r="IMH86" s="27"/>
      <c r="IMI86" s="27"/>
      <c r="IMJ86" s="27"/>
      <c r="IMK86" s="27"/>
      <c r="IML86" s="27"/>
      <c r="IMM86" s="27"/>
      <c r="IMN86" s="27"/>
      <c r="IMO86" s="27"/>
      <c r="IMP86" s="27"/>
      <c r="IMQ86" s="27"/>
      <c r="IMR86" s="27"/>
      <c r="IMS86" s="27"/>
      <c r="IMT86" s="27"/>
      <c r="IMU86" s="27"/>
      <c r="IMV86" s="27"/>
      <c r="IMW86" s="27"/>
      <c r="IMX86" s="27"/>
      <c r="IMY86" s="27"/>
      <c r="IMZ86" s="27"/>
      <c r="INA86" s="27"/>
      <c r="INB86" s="27"/>
      <c r="INC86" s="27"/>
      <c r="IND86" s="27"/>
      <c r="INE86" s="27"/>
      <c r="INF86" s="27"/>
      <c r="ING86" s="27"/>
      <c r="INH86" s="27"/>
      <c r="INI86" s="27"/>
      <c r="INJ86" s="27"/>
      <c r="INK86" s="27"/>
      <c r="INL86" s="27"/>
      <c r="INM86" s="27"/>
      <c r="INN86" s="27"/>
      <c r="INO86" s="27"/>
      <c r="INP86" s="27"/>
      <c r="INQ86" s="27"/>
      <c r="INR86" s="27"/>
      <c r="INS86" s="27"/>
      <c r="INT86" s="27"/>
      <c r="INU86" s="27"/>
      <c r="INV86" s="27"/>
      <c r="INW86" s="27"/>
      <c r="INX86" s="27"/>
      <c r="INY86" s="27"/>
      <c r="INZ86" s="27"/>
      <c r="IOA86" s="27"/>
      <c r="IOB86" s="27"/>
      <c r="IOC86" s="27"/>
      <c r="IOD86" s="27"/>
      <c r="IOE86" s="27"/>
      <c r="IOF86" s="27"/>
      <c r="IOG86" s="27"/>
      <c r="IOH86" s="27"/>
      <c r="IOI86" s="27"/>
      <c r="IOJ86" s="27"/>
      <c r="IOK86" s="27"/>
      <c r="IOL86" s="27"/>
      <c r="IOM86" s="27"/>
      <c r="ION86" s="27"/>
      <c r="IOO86" s="27"/>
      <c r="IOP86" s="27"/>
      <c r="IOQ86" s="27"/>
      <c r="IOR86" s="27"/>
      <c r="IOS86" s="27"/>
      <c r="IOT86" s="27"/>
      <c r="IOU86" s="27"/>
      <c r="IOV86" s="27"/>
      <c r="IOW86" s="27"/>
      <c r="IOX86" s="27"/>
      <c r="IOY86" s="27"/>
      <c r="IOZ86" s="27"/>
      <c r="IPA86" s="27"/>
      <c r="IPB86" s="27"/>
      <c r="IPC86" s="27"/>
      <c r="IPD86" s="27"/>
      <c r="IPE86" s="27"/>
      <c r="IPF86" s="27"/>
      <c r="IPG86" s="27"/>
      <c r="IPH86" s="27"/>
      <c r="IPI86" s="27"/>
      <c r="IPJ86" s="27"/>
      <c r="IPK86" s="27"/>
      <c r="IPL86" s="27"/>
      <c r="IPM86" s="27"/>
      <c r="IPN86" s="27"/>
      <c r="IPO86" s="27"/>
      <c r="IPP86" s="27"/>
      <c r="IPQ86" s="27"/>
      <c r="IPR86" s="27"/>
      <c r="IPS86" s="27"/>
      <c r="IPT86" s="27"/>
      <c r="IPU86" s="27"/>
      <c r="IPV86" s="27"/>
      <c r="IPW86" s="27"/>
      <c r="IPX86" s="27"/>
      <c r="IPY86" s="27"/>
      <c r="IPZ86" s="27"/>
      <c r="IQA86" s="27"/>
      <c r="IQB86" s="27"/>
      <c r="IQC86" s="27"/>
      <c r="IQD86" s="27"/>
      <c r="IQE86" s="27"/>
      <c r="IQF86" s="27"/>
      <c r="IQG86" s="27"/>
      <c r="IQH86" s="27"/>
      <c r="IQI86" s="27"/>
      <c r="IQJ86" s="27"/>
      <c r="IQK86" s="27"/>
      <c r="IQL86" s="27"/>
      <c r="IQM86" s="27"/>
      <c r="IQN86" s="27"/>
      <c r="IQO86" s="27"/>
      <c r="IQP86" s="27"/>
      <c r="IQQ86" s="27"/>
      <c r="IQR86" s="27"/>
      <c r="IQS86" s="27"/>
      <c r="IQT86" s="27"/>
      <c r="IQU86" s="27"/>
      <c r="IQV86" s="27"/>
      <c r="IQW86" s="27"/>
      <c r="IQX86" s="27"/>
      <c r="IQY86" s="27"/>
      <c r="IQZ86" s="27"/>
      <c r="IRA86" s="27"/>
      <c r="IRB86" s="27"/>
      <c r="IRC86" s="27"/>
      <c r="IRD86" s="27"/>
      <c r="IRE86" s="27"/>
      <c r="IRF86" s="27"/>
      <c r="IRG86" s="27"/>
      <c r="IRH86" s="27"/>
      <c r="IRI86" s="27"/>
      <c r="IRJ86" s="27"/>
      <c r="IRK86" s="27"/>
      <c r="IRL86" s="27"/>
      <c r="IRM86" s="27"/>
      <c r="IRN86" s="27"/>
      <c r="IRO86" s="27"/>
      <c r="IRP86" s="27"/>
      <c r="IRQ86" s="27"/>
      <c r="IRR86" s="27"/>
      <c r="IRS86" s="27"/>
      <c r="IRT86" s="27"/>
      <c r="IRU86" s="27"/>
      <c r="IRV86" s="27"/>
      <c r="IRW86" s="27"/>
      <c r="IRX86" s="27"/>
      <c r="IRY86" s="27"/>
      <c r="IRZ86" s="27"/>
      <c r="ISA86" s="27"/>
      <c r="ISB86" s="27"/>
      <c r="ISC86" s="27"/>
      <c r="ISD86" s="27"/>
      <c r="ISE86" s="27"/>
      <c r="ISF86" s="27"/>
      <c r="ISG86" s="27"/>
      <c r="ISH86" s="27"/>
      <c r="ISI86" s="27"/>
      <c r="ISJ86" s="27"/>
      <c r="ISK86" s="27"/>
      <c r="ISL86" s="27"/>
      <c r="ISM86" s="27"/>
      <c r="ISN86" s="27"/>
      <c r="ISO86" s="27"/>
      <c r="ISP86" s="27"/>
      <c r="ISQ86" s="27"/>
      <c r="ISR86" s="27"/>
      <c r="ISS86" s="27"/>
      <c r="IST86" s="27"/>
      <c r="ISU86" s="27"/>
      <c r="ISV86" s="27"/>
      <c r="ISW86" s="27"/>
      <c r="ISX86" s="27"/>
      <c r="ISY86" s="27"/>
      <c r="ISZ86" s="27"/>
      <c r="ITA86" s="27"/>
      <c r="ITB86" s="27"/>
      <c r="ITC86" s="27"/>
      <c r="ITD86" s="27"/>
      <c r="ITE86" s="27"/>
      <c r="ITF86" s="27"/>
      <c r="ITG86" s="27"/>
      <c r="ITH86" s="27"/>
      <c r="ITI86" s="27"/>
      <c r="ITJ86" s="27"/>
      <c r="ITK86" s="27"/>
      <c r="ITL86" s="27"/>
      <c r="ITM86" s="27"/>
      <c r="ITN86" s="27"/>
      <c r="ITO86" s="27"/>
      <c r="ITP86" s="27"/>
      <c r="ITQ86" s="27"/>
      <c r="ITR86" s="27"/>
      <c r="ITS86" s="27"/>
      <c r="ITT86" s="27"/>
      <c r="ITU86" s="27"/>
      <c r="ITV86" s="27"/>
      <c r="ITW86" s="27"/>
      <c r="ITX86" s="27"/>
      <c r="ITY86" s="27"/>
      <c r="ITZ86" s="27"/>
      <c r="IUA86" s="27"/>
      <c r="IUB86" s="27"/>
      <c r="IUC86" s="27"/>
      <c r="IUD86" s="27"/>
      <c r="IUE86" s="27"/>
      <c r="IUF86" s="27"/>
      <c r="IUG86" s="27"/>
      <c r="IUH86" s="27"/>
      <c r="IUI86" s="27"/>
      <c r="IUJ86" s="27"/>
      <c r="IUK86" s="27"/>
      <c r="IUL86" s="27"/>
      <c r="IUM86" s="27"/>
      <c r="IUN86" s="27"/>
      <c r="IUO86" s="27"/>
      <c r="IUP86" s="27"/>
      <c r="IUQ86" s="27"/>
      <c r="IUR86" s="27"/>
      <c r="IUS86" s="27"/>
      <c r="IUT86" s="27"/>
      <c r="IUU86" s="27"/>
      <c r="IUV86" s="27"/>
      <c r="IUW86" s="27"/>
      <c r="IUX86" s="27"/>
      <c r="IUY86" s="27"/>
      <c r="IUZ86" s="27"/>
      <c r="IVA86" s="27"/>
      <c r="IVB86" s="27"/>
      <c r="IVC86" s="27"/>
      <c r="IVD86" s="27"/>
      <c r="IVE86" s="27"/>
      <c r="IVF86" s="27"/>
      <c r="IVG86" s="27"/>
      <c r="IVH86" s="27"/>
      <c r="IVI86" s="27"/>
      <c r="IVJ86" s="27"/>
      <c r="IVK86" s="27"/>
      <c r="IVL86" s="27"/>
      <c r="IVM86" s="27"/>
      <c r="IVN86" s="27"/>
      <c r="IVO86" s="27"/>
      <c r="IVP86" s="27"/>
      <c r="IVQ86" s="27"/>
      <c r="IVR86" s="27"/>
      <c r="IVS86" s="27"/>
      <c r="IVT86" s="27"/>
      <c r="IVU86" s="27"/>
      <c r="IVV86" s="27"/>
      <c r="IVW86" s="27"/>
      <c r="IVX86" s="27"/>
      <c r="IVY86" s="27"/>
      <c r="IVZ86" s="27"/>
      <c r="IWA86" s="27"/>
      <c r="IWB86" s="27"/>
      <c r="IWC86" s="27"/>
      <c r="IWD86" s="27"/>
      <c r="IWE86" s="27"/>
      <c r="IWF86" s="27"/>
      <c r="IWG86" s="27"/>
      <c r="IWH86" s="27"/>
      <c r="IWI86" s="27"/>
      <c r="IWJ86" s="27"/>
      <c r="IWK86" s="27"/>
      <c r="IWL86" s="27"/>
      <c r="IWM86" s="27"/>
      <c r="IWN86" s="27"/>
      <c r="IWO86" s="27"/>
      <c r="IWP86" s="27"/>
      <c r="IWQ86" s="27"/>
      <c r="IWR86" s="27"/>
      <c r="IWS86" s="27"/>
      <c r="IWT86" s="27"/>
      <c r="IWU86" s="27"/>
      <c r="IWV86" s="27"/>
      <c r="IWW86" s="27"/>
      <c r="IWX86" s="27"/>
      <c r="IWY86" s="27"/>
      <c r="IWZ86" s="27"/>
      <c r="IXA86" s="27"/>
      <c r="IXB86" s="27"/>
      <c r="IXC86" s="27"/>
      <c r="IXD86" s="27"/>
      <c r="IXE86" s="27"/>
      <c r="IXF86" s="27"/>
      <c r="IXG86" s="27"/>
      <c r="IXH86" s="27"/>
      <c r="IXI86" s="27"/>
      <c r="IXJ86" s="27"/>
      <c r="IXK86" s="27"/>
      <c r="IXL86" s="27"/>
      <c r="IXM86" s="27"/>
      <c r="IXN86" s="27"/>
      <c r="IXO86" s="27"/>
      <c r="IXP86" s="27"/>
      <c r="IXQ86" s="27"/>
      <c r="IXR86" s="27"/>
      <c r="IXS86" s="27"/>
      <c r="IXT86" s="27"/>
      <c r="IXU86" s="27"/>
      <c r="IXV86" s="27"/>
      <c r="IXW86" s="27"/>
      <c r="IXX86" s="27"/>
      <c r="IXY86" s="27"/>
      <c r="IXZ86" s="27"/>
      <c r="IYA86" s="27"/>
      <c r="IYB86" s="27"/>
      <c r="IYC86" s="27"/>
      <c r="IYD86" s="27"/>
      <c r="IYE86" s="27"/>
      <c r="IYF86" s="27"/>
      <c r="IYG86" s="27"/>
      <c r="IYH86" s="27"/>
      <c r="IYI86" s="27"/>
      <c r="IYJ86" s="27"/>
      <c r="IYK86" s="27"/>
      <c r="IYL86" s="27"/>
      <c r="IYM86" s="27"/>
      <c r="IYN86" s="27"/>
      <c r="IYO86" s="27"/>
      <c r="IYP86" s="27"/>
      <c r="IYQ86" s="27"/>
      <c r="IYR86" s="27"/>
      <c r="IYS86" s="27"/>
      <c r="IYT86" s="27"/>
      <c r="IYU86" s="27"/>
      <c r="IYV86" s="27"/>
      <c r="IYW86" s="27"/>
      <c r="IYX86" s="27"/>
      <c r="IYY86" s="27"/>
      <c r="IYZ86" s="27"/>
      <c r="IZA86" s="27"/>
      <c r="IZB86" s="27"/>
      <c r="IZC86" s="27"/>
      <c r="IZD86" s="27"/>
      <c r="IZE86" s="27"/>
      <c r="IZF86" s="27"/>
      <c r="IZG86" s="27"/>
      <c r="IZH86" s="27"/>
      <c r="IZI86" s="27"/>
      <c r="IZJ86" s="27"/>
      <c r="IZK86" s="27"/>
      <c r="IZL86" s="27"/>
      <c r="IZM86" s="27"/>
      <c r="IZN86" s="27"/>
      <c r="IZO86" s="27"/>
      <c r="IZP86" s="27"/>
      <c r="IZQ86" s="27"/>
      <c r="IZR86" s="27"/>
      <c r="IZS86" s="27"/>
      <c r="IZT86" s="27"/>
      <c r="IZU86" s="27"/>
      <c r="IZV86" s="27"/>
      <c r="IZW86" s="27"/>
      <c r="IZX86" s="27"/>
      <c r="IZY86" s="27"/>
      <c r="IZZ86" s="27"/>
      <c r="JAA86" s="27"/>
      <c r="JAB86" s="27"/>
      <c r="JAC86" s="27"/>
      <c r="JAD86" s="27"/>
      <c r="JAE86" s="27"/>
      <c r="JAF86" s="27"/>
      <c r="JAG86" s="27"/>
      <c r="JAH86" s="27"/>
      <c r="JAI86" s="27"/>
      <c r="JAJ86" s="27"/>
      <c r="JAK86" s="27"/>
      <c r="JAL86" s="27"/>
      <c r="JAM86" s="27"/>
      <c r="JAN86" s="27"/>
      <c r="JAO86" s="27"/>
      <c r="JAP86" s="27"/>
      <c r="JAQ86" s="27"/>
      <c r="JAR86" s="27"/>
      <c r="JAS86" s="27"/>
      <c r="JAT86" s="27"/>
      <c r="JAU86" s="27"/>
      <c r="JAV86" s="27"/>
      <c r="JAW86" s="27"/>
      <c r="JAX86" s="27"/>
      <c r="JAY86" s="27"/>
      <c r="JAZ86" s="27"/>
      <c r="JBA86" s="27"/>
      <c r="JBB86" s="27"/>
      <c r="JBC86" s="27"/>
      <c r="JBD86" s="27"/>
      <c r="JBE86" s="27"/>
      <c r="JBF86" s="27"/>
      <c r="JBG86" s="27"/>
      <c r="JBH86" s="27"/>
      <c r="JBI86" s="27"/>
      <c r="JBJ86" s="27"/>
      <c r="JBK86" s="27"/>
      <c r="JBL86" s="27"/>
      <c r="JBM86" s="27"/>
      <c r="JBN86" s="27"/>
      <c r="JBO86" s="27"/>
      <c r="JBP86" s="27"/>
      <c r="JBQ86" s="27"/>
      <c r="JBR86" s="27"/>
      <c r="JBS86" s="27"/>
      <c r="JBT86" s="27"/>
      <c r="JBU86" s="27"/>
      <c r="JBV86" s="27"/>
      <c r="JBW86" s="27"/>
      <c r="JBX86" s="27"/>
      <c r="JBY86" s="27"/>
      <c r="JBZ86" s="27"/>
      <c r="JCA86" s="27"/>
      <c r="JCB86" s="27"/>
      <c r="JCC86" s="27"/>
      <c r="JCD86" s="27"/>
      <c r="JCE86" s="27"/>
      <c r="JCF86" s="27"/>
      <c r="JCG86" s="27"/>
      <c r="JCH86" s="27"/>
      <c r="JCI86" s="27"/>
      <c r="JCJ86" s="27"/>
      <c r="JCK86" s="27"/>
      <c r="JCL86" s="27"/>
      <c r="JCM86" s="27"/>
      <c r="JCN86" s="27"/>
      <c r="JCO86" s="27"/>
      <c r="JCP86" s="27"/>
      <c r="JCQ86" s="27"/>
      <c r="JCR86" s="27"/>
      <c r="JCS86" s="27"/>
      <c r="JCT86" s="27"/>
      <c r="JCU86" s="27"/>
      <c r="JCV86" s="27"/>
      <c r="JCW86" s="27"/>
      <c r="JCX86" s="27"/>
      <c r="JCY86" s="27"/>
      <c r="JCZ86" s="27"/>
      <c r="JDA86" s="27"/>
      <c r="JDB86" s="27"/>
      <c r="JDC86" s="27"/>
      <c r="JDD86" s="27"/>
      <c r="JDE86" s="27"/>
      <c r="JDF86" s="27"/>
      <c r="JDG86" s="27"/>
      <c r="JDH86" s="27"/>
      <c r="JDI86" s="27"/>
      <c r="JDJ86" s="27"/>
      <c r="JDK86" s="27"/>
      <c r="JDL86" s="27"/>
      <c r="JDM86" s="27"/>
      <c r="JDN86" s="27"/>
      <c r="JDO86" s="27"/>
      <c r="JDP86" s="27"/>
      <c r="JDQ86" s="27"/>
      <c r="JDR86" s="27"/>
      <c r="JDS86" s="27"/>
      <c r="JDT86" s="27"/>
      <c r="JDU86" s="27"/>
      <c r="JDV86" s="27"/>
      <c r="JDW86" s="27"/>
      <c r="JDX86" s="27"/>
      <c r="JDY86" s="27"/>
      <c r="JDZ86" s="27"/>
      <c r="JEA86" s="27"/>
      <c r="JEB86" s="27"/>
      <c r="JEC86" s="27"/>
      <c r="JED86" s="27"/>
      <c r="JEE86" s="27"/>
      <c r="JEF86" s="27"/>
      <c r="JEG86" s="27"/>
      <c r="JEH86" s="27"/>
      <c r="JEI86" s="27"/>
      <c r="JEJ86" s="27"/>
      <c r="JEK86" s="27"/>
      <c r="JEL86" s="27"/>
      <c r="JEM86" s="27"/>
      <c r="JEN86" s="27"/>
      <c r="JEO86" s="27"/>
      <c r="JEP86" s="27"/>
      <c r="JEQ86" s="27"/>
      <c r="JER86" s="27"/>
      <c r="JES86" s="27"/>
      <c r="JET86" s="27"/>
      <c r="JEU86" s="27"/>
      <c r="JEV86" s="27"/>
      <c r="JEW86" s="27"/>
      <c r="JEX86" s="27"/>
      <c r="JEY86" s="27"/>
      <c r="JEZ86" s="27"/>
      <c r="JFA86" s="27"/>
      <c r="JFB86" s="27"/>
      <c r="JFC86" s="27"/>
      <c r="JFD86" s="27"/>
      <c r="JFE86" s="27"/>
      <c r="JFF86" s="27"/>
      <c r="JFG86" s="27"/>
      <c r="JFH86" s="27"/>
      <c r="JFI86" s="27"/>
      <c r="JFJ86" s="27"/>
      <c r="JFK86" s="27"/>
      <c r="JFL86" s="27"/>
      <c r="JFM86" s="27"/>
      <c r="JFN86" s="27"/>
      <c r="JFO86" s="27"/>
      <c r="JFP86" s="27"/>
      <c r="JFQ86" s="27"/>
      <c r="JFR86" s="27"/>
      <c r="JFS86" s="27"/>
      <c r="JFT86" s="27"/>
      <c r="JFU86" s="27"/>
      <c r="JFV86" s="27"/>
      <c r="JFW86" s="27"/>
      <c r="JFX86" s="27"/>
      <c r="JFY86" s="27"/>
      <c r="JFZ86" s="27"/>
      <c r="JGA86" s="27"/>
      <c r="JGB86" s="27"/>
      <c r="JGC86" s="27"/>
      <c r="JGD86" s="27"/>
      <c r="JGE86" s="27"/>
      <c r="JGF86" s="27"/>
      <c r="JGG86" s="27"/>
      <c r="JGH86" s="27"/>
      <c r="JGI86" s="27"/>
      <c r="JGJ86" s="27"/>
      <c r="JGK86" s="27"/>
      <c r="JGL86" s="27"/>
      <c r="JGM86" s="27"/>
      <c r="JGN86" s="27"/>
      <c r="JGO86" s="27"/>
      <c r="JGP86" s="27"/>
      <c r="JGQ86" s="27"/>
      <c r="JGR86" s="27"/>
      <c r="JGS86" s="27"/>
      <c r="JGT86" s="27"/>
      <c r="JGU86" s="27"/>
      <c r="JGV86" s="27"/>
      <c r="JGW86" s="27"/>
      <c r="JGX86" s="27"/>
      <c r="JGY86" s="27"/>
      <c r="JGZ86" s="27"/>
      <c r="JHA86" s="27"/>
      <c r="JHB86" s="27"/>
      <c r="JHC86" s="27"/>
      <c r="JHD86" s="27"/>
      <c r="JHE86" s="27"/>
      <c r="JHF86" s="27"/>
      <c r="JHG86" s="27"/>
      <c r="JHH86" s="27"/>
      <c r="JHI86" s="27"/>
      <c r="JHJ86" s="27"/>
      <c r="JHK86" s="27"/>
      <c r="JHL86" s="27"/>
      <c r="JHM86" s="27"/>
      <c r="JHN86" s="27"/>
      <c r="JHO86" s="27"/>
      <c r="JHP86" s="27"/>
      <c r="JHQ86" s="27"/>
      <c r="JHR86" s="27"/>
      <c r="JHS86" s="27"/>
      <c r="JHT86" s="27"/>
      <c r="JHU86" s="27"/>
      <c r="JHV86" s="27"/>
      <c r="JHW86" s="27"/>
      <c r="JHX86" s="27"/>
      <c r="JHY86" s="27"/>
      <c r="JHZ86" s="27"/>
      <c r="JIA86" s="27"/>
      <c r="JIB86" s="27"/>
      <c r="JIC86" s="27"/>
      <c r="JID86" s="27"/>
      <c r="JIE86" s="27"/>
      <c r="JIF86" s="27"/>
      <c r="JIG86" s="27"/>
      <c r="JIH86" s="27"/>
      <c r="JII86" s="27"/>
      <c r="JIJ86" s="27"/>
      <c r="JIK86" s="27"/>
      <c r="JIL86" s="27"/>
      <c r="JIM86" s="27"/>
      <c r="JIN86" s="27"/>
      <c r="JIO86" s="27"/>
      <c r="JIP86" s="27"/>
      <c r="JIQ86" s="27"/>
      <c r="JIR86" s="27"/>
      <c r="JIS86" s="27"/>
      <c r="JIT86" s="27"/>
      <c r="JIU86" s="27"/>
      <c r="JIV86" s="27"/>
      <c r="JIW86" s="27"/>
      <c r="JIX86" s="27"/>
      <c r="JIY86" s="27"/>
      <c r="JIZ86" s="27"/>
      <c r="JJA86" s="27"/>
      <c r="JJB86" s="27"/>
      <c r="JJC86" s="27"/>
      <c r="JJD86" s="27"/>
      <c r="JJE86" s="27"/>
      <c r="JJF86" s="27"/>
      <c r="JJG86" s="27"/>
      <c r="JJH86" s="27"/>
      <c r="JJI86" s="27"/>
      <c r="JJJ86" s="27"/>
      <c r="JJK86" s="27"/>
      <c r="JJL86" s="27"/>
      <c r="JJM86" s="27"/>
      <c r="JJN86" s="27"/>
      <c r="JJO86" s="27"/>
      <c r="JJP86" s="27"/>
      <c r="JJQ86" s="27"/>
      <c r="JJR86" s="27"/>
      <c r="JJS86" s="27"/>
      <c r="JJT86" s="27"/>
      <c r="JJU86" s="27"/>
      <c r="JJV86" s="27"/>
      <c r="JJW86" s="27"/>
      <c r="JJX86" s="27"/>
      <c r="JJY86" s="27"/>
      <c r="JJZ86" s="27"/>
      <c r="JKA86" s="27"/>
      <c r="JKB86" s="27"/>
      <c r="JKC86" s="27"/>
      <c r="JKD86" s="27"/>
      <c r="JKE86" s="27"/>
      <c r="JKF86" s="27"/>
      <c r="JKG86" s="27"/>
      <c r="JKH86" s="27"/>
      <c r="JKI86" s="27"/>
      <c r="JKJ86" s="27"/>
      <c r="JKK86" s="27"/>
      <c r="JKL86" s="27"/>
      <c r="JKM86" s="27"/>
      <c r="JKN86" s="27"/>
      <c r="JKO86" s="27"/>
      <c r="JKP86" s="27"/>
      <c r="JKQ86" s="27"/>
      <c r="JKR86" s="27"/>
      <c r="JKS86" s="27"/>
      <c r="JKT86" s="27"/>
      <c r="JKU86" s="27"/>
      <c r="JKV86" s="27"/>
      <c r="JKW86" s="27"/>
      <c r="JKX86" s="27"/>
      <c r="JKY86" s="27"/>
      <c r="JKZ86" s="27"/>
      <c r="JLA86" s="27"/>
      <c r="JLB86" s="27"/>
      <c r="JLC86" s="27"/>
      <c r="JLD86" s="27"/>
      <c r="JLE86" s="27"/>
      <c r="JLF86" s="27"/>
      <c r="JLG86" s="27"/>
      <c r="JLH86" s="27"/>
      <c r="JLI86" s="27"/>
      <c r="JLJ86" s="27"/>
      <c r="JLK86" s="27"/>
      <c r="JLL86" s="27"/>
      <c r="JLM86" s="27"/>
      <c r="JLN86" s="27"/>
      <c r="JLO86" s="27"/>
      <c r="JLP86" s="27"/>
      <c r="JLQ86" s="27"/>
      <c r="JLR86" s="27"/>
      <c r="JLS86" s="27"/>
      <c r="JLT86" s="27"/>
      <c r="JLU86" s="27"/>
      <c r="JLV86" s="27"/>
      <c r="JLW86" s="27"/>
      <c r="JLX86" s="27"/>
      <c r="JLY86" s="27"/>
      <c r="JLZ86" s="27"/>
      <c r="JMA86" s="27"/>
      <c r="JMB86" s="27"/>
      <c r="JMC86" s="27"/>
      <c r="JMD86" s="27"/>
      <c r="JME86" s="27"/>
      <c r="JMF86" s="27"/>
      <c r="JMG86" s="27"/>
      <c r="JMH86" s="27"/>
      <c r="JMI86" s="27"/>
      <c r="JMJ86" s="27"/>
      <c r="JMK86" s="27"/>
      <c r="JML86" s="27"/>
      <c r="JMM86" s="27"/>
      <c r="JMN86" s="27"/>
      <c r="JMO86" s="27"/>
      <c r="JMP86" s="27"/>
      <c r="JMQ86" s="27"/>
      <c r="JMR86" s="27"/>
      <c r="JMS86" s="27"/>
      <c r="JMT86" s="27"/>
      <c r="JMU86" s="27"/>
      <c r="JMV86" s="27"/>
      <c r="JMW86" s="27"/>
      <c r="JMX86" s="27"/>
      <c r="JMY86" s="27"/>
      <c r="JMZ86" s="27"/>
      <c r="JNA86" s="27"/>
      <c r="JNB86" s="27"/>
      <c r="JNC86" s="27"/>
      <c r="JND86" s="27"/>
      <c r="JNE86" s="27"/>
      <c r="JNF86" s="27"/>
      <c r="JNG86" s="27"/>
      <c r="JNH86" s="27"/>
      <c r="JNI86" s="27"/>
      <c r="JNJ86" s="27"/>
      <c r="JNK86" s="27"/>
      <c r="JNL86" s="27"/>
      <c r="JNM86" s="27"/>
      <c r="JNN86" s="27"/>
      <c r="JNO86" s="27"/>
      <c r="JNP86" s="27"/>
      <c r="JNQ86" s="27"/>
      <c r="JNR86" s="27"/>
      <c r="JNS86" s="27"/>
      <c r="JNT86" s="27"/>
      <c r="JNU86" s="27"/>
      <c r="JNV86" s="27"/>
      <c r="JNW86" s="27"/>
      <c r="JNX86" s="27"/>
      <c r="JNY86" s="27"/>
      <c r="JNZ86" s="27"/>
      <c r="JOA86" s="27"/>
      <c r="JOB86" s="27"/>
      <c r="JOC86" s="27"/>
      <c r="JOD86" s="27"/>
      <c r="JOE86" s="27"/>
      <c r="JOF86" s="27"/>
      <c r="JOG86" s="27"/>
      <c r="JOH86" s="27"/>
      <c r="JOI86" s="27"/>
      <c r="JOJ86" s="27"/>
      <c r="JOK86" s="27"/>
      <c r="JOL86" s="27"/>
      <c r="JOM86" s="27"/>
      <c r="JON86" s="27"/>
      <c r="JOO86" s="27"/>
      <c r="JOP86" s="27"/>
      <c r="JOQ86" s="27"/>
      <c r="JOR86" s="27"/>
      <c r="JOS86" s="27"/>
      <c r="JOT86" s="27"/>
      <c r="JOU86" s="27"/>
      <c r="JOV86" s="27"/>
      <c r="JOW86" s="27"/>
      <c r="JOX86" s="27"/>
      <c r="JOY86" s="27"/>
      <c r="JOZ86" s="27"/>
      <c r="JPA86" s="27"/>
      <c r="JPB86" s="27"/>
      <c r="JPC86" s="27"/>
      <c r="JPD86" s="27"/>
      <c r="JPE86" s="27"/>
      <c r="JPF86" s="27"/>
      <c r="JPG86" s="27"/>
      <c r="JPH86" s="27"/>
      <c r="JPI86" s="27"/>
      <c r="JPJ86" s="27"/>
      <c r="JPK86" s="27"/>
      <c r="JPL86" s="27"/>
      <c r="JPM86" s="27"/>
      <c r="JPN86" s="27"/>
      <c r="JPO86" s="27"/>
      <c r="JPP86" s="27"/>
      <c r="JPQ86" s="27"/>
      <c r="JPR86" s="27"/>
      <c r="JPS86" s="27"/>
      <c r="JPT86" s="27"/>
      <c r="JPU86" s="27"/>
      <c r="JPV86" s="27"/>
      <c r="JPW86" s="27"/>
      <c r="JPX86" s="27"/>
      <c r="JPY86" s="27"/>
      <c r="JPZ86" s="27"/>
      <c r="JQA86" s="27"/>
      <c r="JQB86" s="27"/>
      <c r="JQC86" s="27"/>
      <c r="JQD86" s="27"/>
      <c r="JQE86" s="27"/>
      <c r="JQF86" s="27"/>
      <c r="JQG86" s="27"/>
      <c r="JQH86" s="27"/>
      <c r="JQI86" s="27"/>
      <c r="JQJ86" s="27"/>
      <c r="JQK86" s="27"/>
      <c r="JQL86" s="27"/>
      <c r="JQM86" s="27"/>
      <c r="JQN86" s="27"/>
      <c r="JQO86" s="27"/>
      <c r="JQP86" s="27"/>
      <c r="JQQ86" s="27"/>
      <c r="JQR86" s="27"/>
      <c r="JQS86" s="27"/>
      <c r="JQT86" s="27"/>
      <c r="JQU86" s="27"/>
      <c r="JQV86" s="27"/>
      <c r="JQW86" s="27"/>
      <c r="JQX86" s="27"/>
      <c r="JQY86" s="27"/>
      <c r="JQZ86" s="27"/>
      <c r="JRA86" s="27"/>
      <c r="JRB86" s="27"/>
      <c r="JRC86" s="27"/>
      <c r="JRD86" s="27"/>
      <c r="JRE86" s="27"/>
      <c r="JRF86" s="27"/>
      <c r="JRG86" s="27"/>
      <c r="JRH86" s="27"/>
      <c r="JRI86" s="27"/>
      <c r="JRJ86" s="27"/>
      <c r="JRK86" s="27"/>
      <c r="JRL86" s="27"/>
      <c r="JRM86" s="27"/>
      <c r="JRN86" s="27"/>
      <c r="JRO86" s="27"/>
      <c r="JRP86" s="27"/>
      <c r="JRQ86" s="27"/>
      <c r="JRR86" s="27"/>
      <c r="JRS86" s="27"/>
      <c r="JRT86" s="27"/>
      <c r="JRU86" s="27"/>
      <c r="JRV86" s="27"/>
      <c r="JRW86" s="27"/>
      <c r="JRX86" s="27"/>
      <c r="JRY86" s="27"/>
      <c r="JRZ86" s="27"/>
      <c r="JSA86" s="27"/>
      <c r="JSB86" s="27"/>
      <c r="JSC86" s="27"/>
      <c r="JSD86" s="27"/>
      <c r="JSE86" s="27"/>
      <c r="JSF86" s="27"/>
      <c r="JSG86" s="27"/>
      <c r="JSH86" s="27"/>
      <c r="JSI86" s="27"/>
      <c r="JSJ86" s="27"/>
      <c r="JSK86" s="27"/>
      <c r="JSL86" s="27"/>
      <c r="JSM86" s="27"/>
      <c r="JSN86" s="27"/>
      <c r="JSO86" s="27"/>
      <c r="JSP86" s="27"/>
      <c r="JSQ86" s="27"/>
      <c r="JSR86" s="27"/>
      <c r="JSS86" s="27"/>
      <c r="JST86" s="27"/>
      <c r="JSU86" s="27"/>
      <c r="JSV86" s="27"/>
      <c r="JSW86" s="27"/>
      <c r="JSX86" s="27"/>
      <c r="JSY86" s="27"/>
      <c r="JSZ86" s="27"/>
      <c r="JTA86" s="27"/>
      <c r="JTB86" s="27"/>
      <c r="JTC86" s="27"/>
      <c r="JTD86" s="27"/>
      <c r="JTE86" s="27"/>
      <c r="JTF86" s="27"/>
      <c r="JTG86" s="27"/>
      <c r="JTH86" s="27"/>
      <c r="JTI86" s="27"/>
      <c r="JTJ86" s="27"/>
      <c r="JTK86" s="27"/>
      <c r="JTL86" s="27"/>
      <c r="JTM86" s="27"/>
      <c r="JTN86" s="27"/>
      <c r="JTO86" s="27"/>
      <c r="JTP86" s="27"/>
      <c r="JTQ86" s="27"/>
      <c r="JTR86" s="27"/>
      <c r="JTS86" s="27"/>
      <c r="JTT86" s="27"/>
      <c r="JTU86" s="27"/>
      <c r="JTV86" s="27"/>
      <c r="JTW86" s="27"/>
      <c r="JTX86" s="27"/>
      <c r="JTY86" s="27"/>
      <c r="JTZ86" s="27"/>
      <c r="JUA86" s="27"/>
      <c r="JUB86" s="27"/>
      <c r="JUC86" s="27"/>
      <c r="JUD86" s="27"/>
      <c r="JUE86" s="27"/>
      <c r="JUF86" s="27"/>
      <c r="JUG86" s="27"/>
      <c r="JUH86" s="27"/>
      <c r="JUI86" s="27"/>
      <c r="JUJ86" s="27"/>
      <c r="JUK86" s="27"/>
      <c r="JUL86" s="27"/>
      <c r="JUM86" s="27"/>
      <c r="JUN86" s="27"/>
      <c r="JUO86" s="27"/>
      <c r="JUP86" s="27"/>
      <c r="JUQ86" s="27"/>
      <c r="JUR86" s="27"/>
      <c r="JUS86" s="27"/>
      <c r="JUT86" s="27"/>
      <c r="JUU86" s="27"/>
      <c r="JUV86" s="27"/>
      <c r="JUW86" s="27"/>
      <c r="JUX86" s="27"/>
      <c r="JUY86" s="27"/>
      <c r="JUZ86" s="27"/>
      <c r="JVA86" s="27"/>
      <c r="JVB86" s="27"/>
      <c r="JVC86" s="27"/>
      <c r="JVD86" s="27"/>
      <c r="JVE86" s="27"/>
      <c r="JVF86" s="27"/>
      <c r="JVG86" s="27"/>
      <c r="JVH86" s="27"/>
      <c r="JVI86" s="27"/>
      <c r="JVJ86" s="27"/>
      <c r="JVK86" s="27"/>
      <c r="JVL86" s="27"/>
      <c r="JVM86" s="27"/>
      <c r="JVN86" s="27"/>
      <c r="JVO86" s="27"/>
      <c r="JVP86" s="27"/>
      <c r="JVQ86" s="27"/>
      <c r="JVR86" s="27"/>
      <c r="JVS86" s="27"/>
      <c r="JVT86" s="27"/>
      <c r="JVU86" s="27"/>
      <c r="JVV86" s="27"/>
      <c r="JVW86" s="27"/>
      <c r="JVX86" s="27"/>
      <c r="JVY86" s="27"/>
      <c r="JVZ86" s="27"/>
      <c r="JWA86" s="27"/>
      <c r="JWB86" s="27"/>
      <c r="JWC86" s="27"/>
      <c r="JWD86" s="27"/>
      <c r="JWE86" s="27"/>
      <c r="JWF86" s="27"/>
      <c r="JWG86" s="27"/>
      <c r="JWH86" s="27"/>
      <c r="JWI86" s="27"/>
      <c r="JWJ86" s="27"/>
      <c r="JWK86" s="27"/>
      <c r="JWL86" s="27"/>
      <c r="JWM86" s="27"/>
      <c r="JWN86" s="27"/>
      <c r="JWO86" s="27"/>
      <c r="JWP86" s="27"/>
      <c r="JWQ86" s="27"/>
      <c r="JWR86" s="27"/>
      <c r="JWS86" s="27"/>
      <c r="JWT86" s="27"/>
      <c r="JWU86" s="27"/>
      <c r="JWV86" s="27"/>
      <c r="JWW86" s="27"/>
      <c r="JWX86" s="27"/>
      <c r="JWY86" s="27"/>
      <c r="JWZ86" s="27"/>
      <c r="JXA86" s="27"/>
      <c r="JXB86" s="27"/>
      <c r="JXC86" s="27"/>
      <c r="JXD86" s="27"/>
      <c r="JXE86" s="27"/>
      <c r="JXF86" s="27"/>
      <c r="JXG86" s="27"/>
      <c r="JXH86" s="27"/>
      <c r="JXI86" s="27"/>
      <c r="JXJ86" s="27"/>
      <c r="JXK86" s="27"/>
      <c r="JXL86" s="27"/>
      <c r="JXM86" s="27"/>
      <c r="JXN86" s="27"/>
      <c r="JXO86" s="27"/>
      <c r="JXP86" s="27"/>
      <c r="JXQ86" s="27"/>
      <c r="JXR86" s="27"/>
      <c r="JXS86" s="27"/>
      <c r="JXT86" s="27"/>
      <c r="JXU86" s="27"/>
      <c r="JXV86" s="27"/>
      <c r="JXW86" s="27"/>
      <c r="JXX86" s="27"/>
      <c r="JXY86" s="27"/>
      <c r="JXZ86" s="27"/>
      <c r="JYA86" s="27"/>
      <c r="JYB86" s="27"/>
      <c r="JYC86" s="27"/>
      <c r="JYD86" s="27"/>
      <c r="JYE86" s="27"/>
      <c r="JYF86" s="27"/>
      <c r="JYG86" s="27"/>
      <c r="JYH86" s="27"/>
      <c r="JYI86" s="27"/>
      <c r="JYJ86" s="27"/>
      <c r="JYK86" s="27"/>
      <c r="JYL86" s="27"/>
      <c r="JYM86" s="27"/>
      <c r="JYN86" s="27"/>
      <c r="JYO86" s="27"/>
      <c r="JYP86" s="27"/>
      <c r="JYQ86" s="27"/>
      <c r="JYR86" s="27"/>
      <c r="JYS86" s="27"/>
      <c r="JYT86" s="27"/>
      <c r="JYU86" s="27"/>
      <c r="JYV86" s="27"/>
      <c r="JYW86" s="27"/>
      <c r="JYX86" s="27"/>
      <c r="JYY86" s="27"/>
      <c r="JYZ86" s="27"/>
      <c r="JZA86" s="27"/>
      <c r="JZB86" s="27"/>
      <c r="JZC86" s="27"/>
      <c r="JZD86" s="27"/>
      <c r="JZE86" s="27"/>
      <c r="JZF86" s="27"/>
      <c r="JZG86" s="27"/>
      <c r="JZH86" s="27"/>
      <c r="JZI86" s="27"/>
      <c r="JZJ86" s="27"/>
      <c r="JZK86" s="27"/>
      <c r="JZL86" s="27"/>
      <c r="JZM86" s="27"/>
      <c r="JZN86" s="27"/>
      <c r="JZO86" s="27"/>
      <c r="JZP86" s="27"/>
      <c r="JZQ86" s="27"/>
      <c r="JZR86" s="27"/>
      <c r="JZS86" s="27"/>
      <c r="JZT86" s="27"/>
      <c r="JZU86" s="27"/>
      <c r="JZV86" s="27"/>
      <c r="JZW86" s="27"/>
      <c r="JZX86" s="27"/>
      <c r="JZY86" s="27"/>
      <c r="JZZ86" s="27"/>
      <c r="KAA86" s="27"/>
      <c r="KAB86" s="27"/>
      <c r="KAC86" s="27"/>
      <c r="KAD86" s="27"/>
      <c r="KAE86" s="27"/>
      <c r="KAF86" s="27"/>
      <c r="KAG86" s="27"/>
      <c r="KAH86" s="27"/>
      <c r="KAI86" s="27"/>
      <c r="KAJ86" s="27"/>
      <c r="KAK86" s="27"/>
      <c r="KAL86" s="27"/>
      <c r="KAM86" s="27"/>
      <c r="KAN86" s="27"/>
      <c r="KAO86" s="27"/>
      <c r="KAP86" s="27"/>
      <c r="KAQ86" s="27"/>
      <c r="KAR86" s="27"/>
      <c r="KAS86" s="27"/>
      <c r="KAT86" s="27"/>
      <c r="KAU86" s="27"/>
      <c r="KAV86" s="27"/>
      <c r="KAW86" s="27"/>
      <c r="KAX86" s="27"/>
      <c r="KAY86" s="27"/>
      <c r="KAZ86" s="27"/>
      <c r="KBA86" s="27"/>
      <c r="KBB86" s="27"/>
      <c r="KBC86" s="27"/>
      <c r="KBD86" s="27"/>
      <c r="KBE86" s="27"/>
      <c r="KBF86" s="27"/>
      <c r="KBG86" s="27"/>
      <c r="KBH86" s="27"/>
      <c r="KBI86" s="27"/>
      <c r="KBJ86" s="27"/>
      <c r="KBK86" s="27"/>
      <c r="KBL86" s="27"/>
      <c r="KBM86" s="27"/>
      <c r="KBN86" s="27"/>
      <c r="KBO86" s="27"/>
      <c r="KBP86" s="27"/>
      <c r="KBQ86" s="27"/>
      <c r="KBR86" s="27"/>
      <c r="KBS86" s="27"/>
      <c r="KBT86" s="27"/>
      <c r="KBU86" s="27"/>
      <c r="KBV86" s="27"/>
      <c r="KBW86" s="27"/>
      <c r="KBX86" s="27"/>
      <c r="KBY86" s="27"/>
      <c r="KBZ86" s="27"/>
      <c r="KCA86" s="27"/>
      <c r="KCB86" s="27"/>
      <c r="KCC86" s="27"/>
      <c r="KCD86" s="27"/>
      <c r="KCE86" s="27"/>
      <c r="KCF86" s="27"/>
      <c r="KCG86" s="27"/>
      <c r="KCH86" s="27"/>
      <c r="KCI86" s="27"/>
      <c r="KCJ86" s="27"/>
      <c r="KCK86" s="27"/>
      <c r="KCL86" s="27"/>
      <c r="KCM86" s="27"/>
      <c r="KCN86" s="27"/>
      <c r="KCO86" s="27"/>
      <c r="KCP86" s="27"/>
      <c r="KCQ86" s="27"/>
      <c r="KCR86" s="27"/>
      <c r="KCS86" s="27"/>
      <c r="KCT86" s="27"/>
      <c r="KCU86" s="27"/>
      <c r="KCV86" s="27"/>
      <c r="KCW86" s="27"/>
      <c r="KCX86" s="27"/>
      <c r="KCY86" s="27"/>
      <c r="KCZ86" s="27"/>
      <c r="KDA86" s="27"/>
      <c r="KDB86" s="27"/>
      <c r="KDC86" s="27"/>
      <c r="KDD86" s="27"/>
      <c r="KDE86" s="27"/>
      <c r="KDF86" s="27"/>
      <c r="KDG86" s="27"/>
      <c r="KDH86" s="27"/>
      <c r="KDI86" s="27"/>
      <c r="KDJ86" s="27"/>
      <c r="KDK86" s="27"/>
      <c r="KDL86" s="27"/>
      <c r="KDM86" s="27"/>
      <c r="KDN86" s="27"/>
      <c r="KDO86" s="27"/>
      <c r="KDP86" s="27"/>
      <c r="KDQ86" s="27"/>
      <c r="KDR86" s="27"/>
      <c r="KDS86" s="27"/>
      <c r="KDT86" s="27"/>
      <c r="KDU86" s="27"/>
      <c r="KDV86" s="27"/>
      <c r="KDW86" s="27"/>
      <c r="KDX86" s="27"/>
      <c r="KDY86" s="27"/>
      <c r="KDZ86" s="27"/>
      <c r="KEA86" s="27"/>
      <c r="KEB86" s="27"/>
      <c r="KEC86" s="27"/>
      <c r="KED86" s="27"/>
      <c r="KEE86" s="27"/>
      <c r="KEF86" s="27"/>
      <c r="KEG86" s="27"/>
      <c r="KEH86" s="27"/>
      <c r="KEI86" s="27"/>
      <c r="KEJ86" s="27"/>
      <c r="KEK86" s="27"/>
      <c r="KEL86" s="27"/>
      <c r="KEM86" s="27"/>
      <c r="KEN86" s="27"/>
      <c r="KEO86" s="27"/>
      <c r="KEP86" s="27"/>
      <c r="KEQ86" s="27"/>
      <c r="KER86" s="27"/>
      <c r="KES86" s="27"/>
      <c r="KET86" s="27"/>
      <c r="KEU86" s="27"/>
      <c r="KEV86" s="27"/>
      <c r="KEW86" s="27"/>
      <c r="KEX86" s="27"/>
      <c r="KEY86" s="27"/>
      <c r="KEZ86" s="27"/>
      <c r="KFA86" s="27"/>
      <c r="KFB86" s="27"/>
      <c r="KFC86" s="27"/>
      <c r="KFD86" s="27"/>
      <c r="KFE86" s="27"/>
      <c r="KFF86" s="27"/>
      <c r="KFG86" s="27"/>
      <c r="KFH86" s="27"/>
      <c r="KFI86" s="27"/>
      <c r="KFJ86" s="27"/>
      <c r="KFK86" s="27"/>
      <c r="KFL86" s="27"/>
      <c r="KFM86" s="27"/>
      <c r="KFN86" s="27"/>
      <c r="KFO86" s="27"/>
      <c r="KFP86" s="27"/>
      <c r="KFQ86" s="27"/>
      <c r="KFR86" s="27"/>
      <c r="KFS86" s="27"/>
      <c r="KFT86" s="27"/>
      <c r="KFU86" s="27"/>
      <c r="KFV86" s="27"/>
      <c r="KFW86" s="27"/>
      <c r="KFX86" s="27"/>
      <c r="KFY86" s="27"/>
      <c r="KFZ86" s="27"/>
      <c r="KGA86" s="27"/>
      <c r="KGB86" s="27"/>
      <c r="KGC86" s="27"/>
      <c r="KGD86" s="27"/>
      <c r="KGE86" s="27"/>
      <c r="KGF86" s="27"/>
      <c r="KGG86" s="27"/>
      <c r="KGH86" s="27"/>
      <c r="KGI86" s="27"/>
      <c r="KGJ86" s="27"/>
      <c r="KGK86" s="27"/>
      <c r="KGL86" s="27"/>
      <c r="KGM86" s="27"/>
      <c r="KGN86" s="27"/>
      <c r="KGO86" s="27"/>
      <c r="KGP86" s="27"/>
      <c r="KGQ86" s="27"/>
      <c r="KGR86" s="27"/>
      <c r="KGS86" s="27"/>
      <c r="KGT86" s="27"/>
      <c r="KGU86" s="27"/>
      <c r="KGV86" s="27"/>
      <c r="KGW86" s="27"/>
      <c r="KGX86" s="27"/>
      <c r="KGY86" s="27"/>
      <c r="KGZ86" s="27"/>
      <c r="KHA86" s="27"/>
      <c r="KHB86" s="27"/>
      <c r="KHC86" s="27"/>
      <c r="KHD86" s="27"/>
      <c r="KHE86" s="27"/>
      <c r="KHF86" s="27"/>
      <c r="KHG86" s="27"/>
      <c r="KHH86" s="27"/>
      <c r="KHI86" s="27"/>
      <c r="KHJ86" s="27"/>
      <c r="KHK86" s="27"/>
      <c r="KHL86" s="27"/>
      <c r="KHM86" s="27"/>
      <c r="KHN86" s="27"/>
      <c r="KHO86" s="27"/>
      <c r="KHP86" s="27"/>
      <c r="KHQ86" s="27"/>
      <c r="KHR86" s="27"/>
      <c r="KHS86" s="27"/>
      <c r="KHT86" s="27"/>
      <c r="KHU86" s="27"/>
      <c r="KHV86" s="27"/>
      <c r="KHW86" s="27"/>
      <c r="KHX86" s="27"/>
      <c r="KHY86" s="27"/>
      <c r="KHZ86" s="27"/>
      <c r="KIA86" s="27"/>
      <c r="KIB86" s="27"/>
      <c r="KIC86" s="27"/>
      <c r="KID86" s="27"/>
      <c r="KIE86" s="27"/>
      <c r="KIF86" s="27"/>
      <c r="KIG86" s="27"/>
      <c r="KIH86" s="27"/>
      <c r="KII86" s="27"/>
      <c r="KIJ86" s="27"/>
      <c r="KIK86" s="27"/>
      <c r="KIL86" s="27"/>
      <c r="KIM86" s="27"/>
      <c r="KIN86" s="27"/>
      <c r="KIO86" s="27"/>
      <c r="KIP86" s="27"/>
      <c r="KIQ86" s="27"/>
      <c r="KIR86" s="27"/>
      <c r="KIS86" s="27"/>
      <c r="KIT86" s="27"/>
      <c r="KIU86" s="27"/>
      <c r="KIV86" s="27"/>
      <c r="KIW86" s="27"/>
      <c r="KIX86" s="27"/>
      <c r="KIY86" s="27"/>
      <c r="KIZ86" s="27"/>
      <c r="KJA86" s="27"/>
      <c r="KJB86" s="27"/>
      <c r="KJC86" s="27"/>
      <c r="KJD86" s="27"/>
      <c r="KJE86" s="27"/>
      <c r="KJF86" s="27"/>
      <c r="KJG86" s="27"/>
      <c r="KJH86" s="27"/>
      <c r="KJI86" s="27"/>
      <c r="KJJ86" s="27"/>
      <c r="KJK86" s="27"/>
      <c r="KJL86" s="27"/>
      <c r="KJM86" s="27"/>
      <c r="KJN86" s="27"/>
      <c r="KJO86" s="27"/>
      <c r="KJP86" s="27"/>
      <c r="KJQ86" s="27"/>
      <c r="KJR86" s="27"/>
      <c r="KJS86" s="27"/>
      <c r="KJT86" s="27"/>
      <c r="KJU86" s="27"/>
      <c r="KJV86" s="27"/>
      <c r="KJW86" s="27"/>
      <c r="KJX86" s="27"/>
      <c r="KJY86" s="27"/>
      <c r="KJZ86" s="27"/>
      <c r="KKA86" s="27"/>
      <c r="KKB86" s="27"/>
      <c r="KKC86" s="27"/>
      <c r="KKD86" s="27"/>
      <c r="KKE86" s="27"/>
      <c r="KKF86" s="27"/>
      <c r="KKG86" s="27"/>
      <c r="KKH86" s="27"/>
      <c r="KKI86" s="27"/>
      <c r="KKJ86" s="27"/>
      <c r="KKK86" s="27"/>
      <c r="KKL86" s="27"/>
      <c r="KKM86" s="27"/>
      <c r="KKN86" s="27"/>
      <c r="KKO86" s="27"/>
      <c r="KKP86" s="27"/>
      <c r="KKQ86" s="27"/>
      <c r="KKR86" s="27"/>
      <c r="KKS86" s="27"/>
      <c r="KKT86" s="27"/>
      <c r="KKU86" s="27"/>
      <c r="KKV86" s="27"/>
      <c r="KKW86" s="27"/>
      <c r="KKX86" s="27"/>
      <c r="KKY86" s="27"/>
      <c r="KKZ86" s="27"/>
      <c r="KLA86" s="27"/>
      <c r="KLB86" s="27"/>
      <c r="KLC86" s="27"/>
      <c r="KLD86" s="27"/>
      <c r="KLE86" s="27"/>
      <c r="KLF86" s="27"/>
      <c r="KLG86" s="27"/>
      <c r="KLH86" s="27"/>
      <c r="KLI86" s="27"/>
      <c r="KLJ86" s="27"/>
      <c r="KLK86" s="27"/>
      <c r="KLL86" s="27"/>
      <c r="KLM86" s="27"/>
      <c r="KLN86" s="27"/>
      <c r="KLO86" s="27"/>
      <c r="KLP86" s="27"/>
      <c r="KLQ86" s="27"/>
      <c r="KLR86" s="27"/>
      <c r="KLS86" s="27"/>
      <c r="KLT86" s="27"/>
      <c r="KLU86" s="27"/>
      <c r="KLV86" s="27"/>
      <c r="KLW86" s="27"/>
      <c r="KLX86" s="27"/>
      <c r="KLY86" s="27"/>
      <c r="KLZ86" s="27"/>
      <c r="KMA86" s="27"/>
      <c r="KMB86" s="27"/>
      <c r="KMC86" s="27"/>
      <c r="KMD86" s="27"/>
      <c r="KME86" s="27"/>
      <c r="KMF86" s="27"/>
      <c r="KMG86" s="27"/>
      <c r="KMH86" s="27"/>
      <c r="KMI86" s="27"/>
      <c r="KMJ86" s="27"/>
      <c r="KMK86" s="27"/>
      <c r="KML86" s="27"/>
      <c r="KMM86" s="27"/>
      <c r="KMN86" s="27"/>
      <c r="KMO86" s="27"/>
      <c r="KMP86" s="27"/>
      <c r="KMQ86" s="27"/>
      <c r="KMR86" s="27"/>
      <c r="KMS86" s="27"/>
      <c r="KMT86" s="27"/>
      <c r="KMU86" s="27"/>
      <c r="KMV86" s="27"/>
      <c r="KMW86" s="27"/>
      <c r="KMX86" s="27"/>
      <c r="KMY86" s="27"/>
      <c r="KMZ86" s="27"/>
      <c r="KNA86" s="27"/>
      <c r="KNB86" s="27"/>
      <c r="KNC86" s="27"/>
      <c r="KND86" s="27"/>
      <c r="KNE86" s="27"/>
      <c r="KNF86" s="27"/>
      <c r="KNG86" s="27"/>
      <c r="KNH86" s="27"/>
      <c r="KNI86" s="27"/>
      <c r="KNJ86" s="27"/>
      <c r="KNK86" s="27"/>
      <c r="KNL86" s="27"/>
      <c r="KNM86" s="27"/>
      <c r="KNN86" s="27"/>
      <c r="KNO86" s="27"/>
      <c r="KNP86" s="27"/>
      <c r="KNQ86" s="27"/>
      <c r="KNR86" s="27"/>
      <c r="KNS86" s="27"/>
      <c r="KNT86" s="27"/>
      <c r="KNU86" s="27"/>
      <c r="KNV86" s="27"/>
      <c r="KNW86" s="27"/>
      <c r="KNX86" s="27"/>
      <c r="KNY86" s="27"/>
      <c r="KNZ86" s="27"/>
      <c r="KOA86" s="27"/>
      <c r="KOB86" s="27"/>
      <c r="KOC86" s="27"/>
      <c r="KOD86" s="27"/>
      <c r="KOE86" s="27"/>
      <c r="KOF86" s="27"/>
      <c r="KOG86" s="27"/>
      <c r="KOH86" s="27"/>
      <c r="KOI86" s="27"/>
      <c r="KOJ86" s="27"/>
      <c r="KOK86" s="27"/>
      <c r="KOL86" s="27"/>
      <c r="KOM86" s="27"/>
      <c r="KON86" s="27"/>
      <c r="KOO86" s="27"/>
      <c r="KOP86" s="27"/>
      <c r="KOQ86" s="27"/>
      <c r="KOR86" s="27"/>
      <c r="KOS86" s="27"/>
      <c r="KOT86" s="27"/>
      <c r="KOU86" s="27"/>
      <c r="KOV86" s="27"/>
      <c r="KOW86" s="27"/>
      <c r="KOX86" s="27"/>
      <c r="KOY86" s="27"/>
      <c r="KOZ86" s="27"/>
      <c r="KPA86" s="27"/>
      <c r="KPB86" s="27"/>
      <c r="KPC86" s="27"/>
      <c r="KPD86" s="27"/>
      <c r="KPE86" s="27"/>
      <c r="KPF86" s="27"/>
      <c r="KPG86" s="27"/>
      <c r="KPH86" s="27"/>
      <c r="KPI86" s="27"/>
      <c r="KPJ86" s="27"/>
      <c r="KPK86" s="27"/>
      <c r="KPL86" s="27"/>
      <c r="KPM86" s="27"/>
      <c r="KPN86" s="27"/>
      <c r="KPO86" s="27"/>
      <c r="KPP86" s="27"/>
      <c r="KPQ86" s="27"/>
      <c r="KPR86" s="27"/>
      <c r="KPS86" s="27"/>
      <c r="KPT86" s="27"/>
      <c r="KPU86" s="27"/>
      <c r="KPV86" s="27"/>
      <c r="KPW86" s="27"/>
      <c r="KPX86" s="27"/>
      <c r="KPY86" s="27"/>
      <c r="KPZ86" s="27"/>
      <c r="KQA86" s="27"/>
      <c r="KQB86" s="27"/>
      <c r="KQC86" s="27"/>
      <c r="KQD86" s="27"/>
      <c r="KQE86" s="27"/>
      <c r="KQF86" s="27"/>
      <c r="KQG86" s="27"/>
      <c r="KQH86" s="27"/>
      <c r="KQI86" s="27"/>
      <c r="KQJ86" s="27"/>
      <c r="KQK86" s="27"/>
      <c r="KQL86" s="27"/>
      <c r="KQM86" s="27"/>
      <c r="KQN86" s="27"/>
      <c r="KQO86" s="27"/>
      <c r="KQP86" s="27"/>
      <c r="KQQ86" s="27"/>
      <c r="KQR86" s="27"/>
      <c r="KQS86" s="27"/>
      <c r="KQT86" s="27"/>
      <c r="KQU86" s="27"/>
      <c r="KQV86" s="27"/>
      <c r="KQW86" s="27"/>
      <c r="KQX86" s="27"/>
      <c r="KQY86" s="27"/>
      <c r="KQZ86" s="27"/>
      <c r="KRA86" s="27"/>
      <c r="KRB86" s="27"/>
      <c r="KRC86" s="27"/>
      <c r="KRD86" s="27"/>
      <c r="KRE86" s="27"/>
      <c r="KRF86" s="27"/>
      <c r="KRG86" s="27"/>
      <c r="KRH86" s="27"/>
      <c r="KRI86" s="27"/>
      <c r="KRJ86" s="27"/>
      <c r="KRK86" s="27"/>
      <c r="KRL86" s="27"/>
      <c r="KRM86" s="27"/>
      <c r="KRN86" s="27"/>
      <c r="KRO86" s="27"/>
      <c r="KRP86" s="27"/>
      <c r="KRQ86" s="27"/>
      <c r="KRR86" s="27"/>
      <c r="KRS86" s="27"/>
      <c r="KRT86" s="27"/>
      <c r="KRU86" s="27"/>
      <c r="KRV86" s="27"/>
      <c r="KRW86" s="27"/>
      <c r="KRX86" s="27"/>
      <c r="KRY86" s="27"/>
      <c r="KRZ86" s="27"/>
      <c r="KSA86" s="27"/>
      <c r="KSB86" s="27"/>
      <c r="KSC86" s="27"/>
      <c r="KSD86" s="27"/>
      <c r="KSE86" s="27"/>
      <c r="KSF86" s="27"/>
      <c r="KSG86" s="27"/>
      <c r="KSH86" s="27"/>
      <c r="KSI86" s="27"/>
      <c r="KSJ86" s="27"/>
      <c r="KSK86" s="27"/>
      <c r="KSL86" s="27"/>
      <c r="KSM86" s="27"/>
      <c r="KSN86" s="27"/>
      <c r="KSO86" s="27"/>
      <c r="KSP86" s="27"/>
      <c r="KSQ86" s="27"/>
      <c r="KSR86" s="27"/>
      <c r="KSS86" s="27"/>
      <c r="KST86" s="27"/>
      <c r="KSU86" s="27"/>
      <c r="KSV86" s="27"/>
      <c r="KSW86" s="27"/>
      <c r="KSX86" s="27"/>
      <c r="KSY86" s="27"/>
      <c r="KSZ86" s="27"/>
      <c r="KTA86" s="27"/>
      <c r="KTB86" s="27"/>
      <c r="KTC86" s="27"/>
      <c r="KTD86" s="27"/>
      <c r="KTE86" s="27"/>
      <c r="KTF86" s="27"/>
      <c r="KTG86" s="27"/>
      <c r="KTH86" s="27"/>
      <c r="KTI86" s="27"/>
      <c r="KTJ86" s="27"/>
      <c r="KTK86" s="27"/>
      <c r="KTL86" s="27"/>
      <c r="KTM86" s="27"/>
      <c r="KTN86" s="27"/>
      <c r="KTO86" s="27"/>
      <c r="KTP86" s="27"/>
      <c r="KTQ86" s="27"/>
      <c r="KTR86" s="27"/>
      <c r="KTS86" s="27"/>
      <c r="KTT86" s="27"/>
      <c r="KTU86" s="27"/>
      <c r="KTV86" s="27"/>
      <c r="KTW86" s="27"/>
      <c r="KTX86" s="27"/>
      <c r="KTY86" s="27"/>
      <c r="KTZ86" s="27"/>
      <c r="KUA86" s="27"/>
      <c r="KUB86" s="27"/>
      <c r="KUC86" s="27"/>
      <c r="KUD86" s="27"/>
      <c r="KUE86" s="27"/>
      <c r="KUF86" s="27"/>
      <c r="KUG86" s="27"/>
      <c r="KUH86" s="27"/>
      <c r="KUI86" s="27"/>
      <c r="KUJ86" s="27"/>
      <c r="KUK86" s="27"/>
      <c r="KUL86" s="27"/>
      <c r="KUM86" s="27"/>
      <c r="KUN86" s="27"/>
      <c r="KUO86" s="27"/>
      <c r="KUP86" s="27"/>
      <c r="KUQ86" s="27"/>
      <c r="KUR86" s="27"/>
      <c r="KUS86" s="27"/>
      <c r="KUT86" s="27"/>
      <c r="KUU86" s="27"/>
      <c r="KUV86" s="27"/>
      <c r="KUW86" s="27"/>
      <c r="KUX86" s="27"/>
      <c r="KUY86" s="27"/>
      <c r="KUZ86" s="27"/>
      <c r="KVA86" s="27"/>
      <c r="KVB86" s="27"/>
      <c r="KVC86" s="27"/>
      <c r="KVD86" s="27"/>
      <c r="KVE86" s="27"/>
      <c r="KVF86" s="27"/>
      <c r="KVG86" s="27"/>
      <c r="KVH86" s="27"/>
      <c r="KVI86" s="27"/>
      <c r="KVJ86" s="27"/>
      <c r="KVK86" s="27"/>
      <c r="KVL86" s="27"/>
      <c r="KVM86" s="27"/>
      <c r="KVN86" s="27"/>
      <c r="KVO86" s="27"/>
      <c r="KVP86" s="27"/>
      <c r="KVQ86" s="27"/>
      <c r="KVR86" s="27"/>
      <c r="KVS86" s="27"/>
      <c r="KVT86" s="27"/>
      <c r="KVU86" s="27"/>
      <c r="KVV86" s="27"/>
      <c r="KVW86" s="27"/>
      <c r="KVX86" s="27"/>
      <c r="KVY86" s="27"/>
      <c r="KVZ86" s="27"/>
      <c r="KWA86" s="27"/>
      <c r="KWB86" s="27"/>
      <c r="KWC86" s="27"/>
      <c r="KWD86" s="27"/>
      <c r="KWE86" s="27"/>
      <c r="KWF86" s="27"/>
      <c r="KWG86" s="27"/>
      <c r="KWH86" s="27"/>
      <c r="KWI86" s="27"/>
      <c r="KWJ86" s="27"/>
      <c r="KWK86" s="27"/>
      <c r="KWL86" s="27"/>
      <c r="KWM86" s="27"/>
      <c r="KWN86" s="27"/>
      <c r="KWO86" s="27"/>
      <c r="KWP86" s="27"/>
      <c r="KWQ86" s="27"/>
      <c r="KWR86" s="27"/>
      <c r="KWS86" s="27"/>
      <c r="KWT86" s="27"/>
      <c r="KWU86" s="27"/>
      <c r="KWV86" s="27"/>
      <c r="KWW86" s="27"/>
      <c r="KWX86" s="27"/>
      <c r="KWY86" s="27"/>
      <c r="KWZ86" s="27"/>
      <c r="KXA86" s="27"/>
      <c r="KXB86" s="27"/>
      <c r="KXC86" s="27"/>
      <c r="KXD86" s="27"/>
      <c r="KXE86" s="27"/>
      <c r="KXF86" s="27"/>
      <c r="KXG86" s="27"/>
      <c r="KXH86" s="27"/>
      <c r="KXI86" s="27"/>
      <c r="KXJ86" s="27"/>
      <c r="KXK86" s="27"/>
      <c r="KXL86" s="27"/>
      <c r="KXM86" s="27"/>
      <c r="KXN86" s="27"/>
      <c r="KXO86" s="27"/>
      <c r="KXP86" s="27"/>
      <c r="KXQ86" s="27"/>
      <c r="KXR86" s="27"/>
      <c r="KXS86" s="27"/>
      <c r="KXT86" s="27"/>
      <c r="KXU86" s="27"/>
      <c r="KXV86" s="27"/>
      <c r="KXW86" s="27"/>
      <c r="KXX86" s="27"/>
      <c r="KXY86" s="27"/>
      <c r="KXZ86" s="27"/>
      <c r="KYA86" s="27"/>
      <c r="KYB86" s="27"/>
      <c r="KYC86" s="27"/>
      <c r="KYD86" s="27"/>
      <c r="KYE86" s="27"/>
      <c r="KYF86" s="27"/>
      <c r="KYG86" s="27"/>
      <c r="KYH86" s="27"/>
      <c r="KYI86" s="27"/>
      <c r="KYJ86" s="27"/>
      <c r="KYK86" s="27"/>
      <c r="KYL86" s="27"/>
      <c r="KYM86" s="27"/>
      <c r="KYN86" s="27"/>
      <c r="KYO86" s="27"/>
      <c r="KYP86" s="27"/>
      <c r="KYQ86" s="27"/>
      <c r="KYR86" s="27"/>
      <c r="KYS86" s="27"/>
      <c r="KYT86" s="27"/>
      <c r="KYU86" s="27"/>
      <c r="KYV86" s="27"/>
      <c r="KYW86" s="27"/>
      <c r="KYX86" s="27"/>
      <c r="KYY86" s="27"/>
      <c r="KYZ86" s="27"/>
      <c r="KZA86" s="27"/>
      <c r="KZB86" s="27"/>
      <c r="KZC86" s="27"/>
      <c r="KZD86" s="27"/>
      <c r="KZE86" s="27"/>
      <c r="KZF86" s="27"/>
      <c r="KZG86" s="27"/>
      <c r="KZH86" s="27"/>
      <c r="KZI86" s="27"/>
      <c r="KZJ86" s="27"/>
      <c r="KZK86" s="27"/>
      <c r="KZL86" s="27"/>
      <c r="KZM86" s="27"/>
      <c r="KZN86" s="27"/>
      <c r="KZO86" s="27"/>
      <c r="KZP86" s="27"/>
      <c r="KZQ86" s="27"/>
      <c r="KZR86" s="27"/>
      <c r="KZS86" s="27"/>
      <c r="KZT86" s="27"/>
      <c r="KZU86" s="27"/>
      <c r="KZV86" s="27"/>
      <c r="KZW86" s="27"/>
      <c r="KZX86" s="27"/>
      <c r="KZY86" s="27"/>
      <c r="KZZ86" s="27"/>
      <c r="LAA86" s="27"/>
      <c r="LAB86" s="27"/>
      <c r="LAC86" s="27"/>
      <c r="LAD86" s="27"/>
      <c r="LAE86" s="27"/>
      <c r="LAF86" s="27"/>
      <c r="LAG86" s="27"/>
      <c r="LAH86" s="27"/>
      <c r="LAI86" s="27"/>
      <c r="LAJ86" s="27"/>
      <c r="LAK86" s="27"/>
      <c r="LAL86" s="27"/>
      <c r="LAM86" s="27"/>
      <c r="LAN86" s="27"/>
      <c r="LAO86" s="27"/>
      <c r="LAP86" s="27"/>
      <c r="LAQ86" s="27"/>
      <c r="LAR86" s="27"/>
      <c r="LAS86" s="27"/>
      <c r="LAT86" s="27"/>
      <c r="LAU86" s="27"/>
      <c r="LAV86" s="27"/>
      <c r="LAW86" s="27"/>
      <c r="LAX86" s="27"/>
      <c r="LAY86" s="27"/>
      <c r="LAZ86" s="27"/>
      <c r="LBA86" s="27"/>
      <c r="LBB86" s="27"/>
      <c r="LBC86" s="27"/>
      <c r="LBD86" s="27"/>
      <c r="LBE86" s="27"/>
      <c r="LBF86" s="27"/>
      <c r="LBG86" s="27"/>
      <c r="LBH86" s="27"/>
      <c r="LBI86" s="27"/>
      <c r="LBJ86" s="27"/>
      <c r="LBK86" s="27"/>
      <c r="LBL86" s="27"/>
      <c r="LBM86" s="27"/>
      <c r="LBN86" s="27"/>
      <c r="LBO86" s="27"/>
      <c r="LBP86" s="27"/>
      <c r="LBQ86" s="27"/>
      <c r="LBR86" s="27"/>
      <c r="LBS86" s="27"/>
      <c r="LBT86" s="27"/>
      <c r="LBU86" s="27"/>
      <c r="LBV86" s="27"/>
      <c r="LBW86" s="27"/>
      <c r="LBX86" s="27"/>
      <c r="LBY86" s="27"/>
      <c r="LBZ86" s="27"/>
      <c r="LCA86" s="27"/>
      <c r="LCB86" s="27"/>
      <c r="LCC86" s="27"/>
      <c r="LCD86" s="27"/>
      <c r="LCE86" s="27"/>
      <c r="LCF86" s="27"/>
      <c r="LCG86" s="27"/>
      <c r="LCH86" s="27"/>
      <c r="LCI86" s="27"/>
      <c r="LCJ86" s="27"/>
      <c r="LCK86" s="27"/>
      <c r="LCL86" s="27"/>
      <c r="LCM86" s="27"/>
      <c r="LCN86" s="27"/>
      <c r="LCO86" s="27"/>
      <c r="LCP86" s="27"/>
      <c r="LCQ86" s="27"/>
      <c r="LCR86" s="27"/>
      <c r="LCS86" s="27"/>
      <c r="LCT86" s="27"/>
      <c r="LCU86" s="27"/>
      <c r="LCV86" s="27"/>
      <c r="LCW86" s="27"/>
      <c r="LCX86" s="27"/>
      <c r="LCY86" s="27"/>
      <c r="LCZ86" s="27"/>
      <c r="LDA86" s="27"/>
      <c r="LDB86" s="27"/>
      <c r="LDC86" s="27"/>
      <c r="LDD86" s="27"/>
      <c r="LDE86" s="27"/>
      <c r="LDF86" s="27"/>
      <c r="LDG86" s="27"/>
      <c r="LDH86" s="27"/>
      <c r="LDI86" s="27"/>
      <c r="LDJ86" s="27"/>
      <c r="LDK86" s="27"/>
      <c r="LDL86" s="27"/>
      <c r="LDM86" s="27"/>
      <c r="LDN86" s="27"/>
      <c r="LDO86" s="27"/>
      <c r="LDP86" s="27"/>
      <c r="LDQ86" s="27"/>
      <c r="LDR86" s="27"/>
      <c r="LDS86" s="27"/>
      <c r="LDT86" s="27"/>
      <c r="LDU86" s="27"/>
      <c r="LDV86" s="27"/>
      <c r="LDW86" s="27"/>
      <c r="LDX86" s="27"/>
      <c r="LDY86" s="27"/>
      <c r="LDZ86" s="27"/>
      <c r="LEA86" s="27"/>
      <c r="LEB86" s="27"/>
      <c r="LEC86" s="27"/>
      <c r="LED86" s="27"/>
      <c r="LEE86" s="27"/>
      <c r="LEF86" s="27"/>
      <c r="LEG86" s="27"/>
      <c r="LEH86" s="27"/>
      <c r="LEI86" s="27"/>
      <c r="LEJ86" s="27"/>
      <c r="LEK86" s="27"/>
      <c r="LEL86" s="27"/>
      <c r="LEM86" s="27"/>
      <c r="LEN86" s="27"/>
      <c r="LEO86" s="27"/>
      <c r="LEP86" s="27"/>
      <c r="LEQ86" s="27"/>
      <c r="LER86" s="27"/>
      <c r="LES86" s="27"/>
      <c r="LET86" s="27"/>
      <c r="LEU86" s="27"/>
      <c r="LEV86" s="27"/>
      <c r="LEW86" s="27"/>
      <c r="LEX86" s="27"/>
      <c r="LEY86" s="27"/>
      <c r="LEZ86" s="27"/>
      <c r="LFA86" s="27"/>
      <c r="LFB86" s="27"/>
      <c r="LFC86" s="27"/>
      <c r="LFD86" s="27"/>
      <c r="LFE86" s="27"/>
      <c r="LFF86" s="27"/>
      <c r="LFG86" s="27"/>
      <c r="LFH86" s="27"/>
      <c r="LFI86" s="27"/>
      <c r="LFJ86" s="27"/>
      <c r="LFK86" s="27"/>
      <c r="LFL86" s="27"/>
      <c r="LFM86" s="27"/>
      <c r="LFN86" s="27"/>
      <c r="LFO86" s="27"/>
      <c r="LFP86" s="27"/>
      <c r="LFQ86" s="27"/>
      <c r="LFR86" s="27"/>
      <c r="LFS86" s="27"/>
      <c r="LFT86" s="27"/>
      <c r="LFU86" s="27"/>
      <c r="LFV86" s="27"/>
      <c r="LFW86" s="27"/>
      <c r="LFX86" s="27"/>
      <c r="LFY86" s="27"/>
      <c r="LFZ86" s="27"/>
      <c r="LGA86" s="27"/>
      <c r="LGB86" s="27"/>
      <c r="LGC86" s="27"/>
      <c r="LGD86" s="27"/>
      <c r="LGE86" s="27"/>
      <c r="LGF86" s="27"/>
      <c r="LGG86" s="27"/>
      <c r="LGH86" s="27"/>
      <c r="LGI86" s="27"/>
      <c r="LGJ86" s="27"/>
      <c r="LGK86" s="27"/>
      <c r="LGL86" s="27"/>
      <c r="LGM86" s="27"/>
      <c r="LGN86" s="27"/>
      <c r="LGO86" s="27"/>
      <c r="LGP86" s="27"/>
      <c r="LGQ86" s="27"/>
      <c r="LGR86" s="27"/>
      <c r="LGS86" s="27"/>
      <c r="LGT86" s="27"/>
      <c r="LGU86" s="27"/>
      <c r="LGV86" s="27"/>
      <c r="LGW86" s="27"/>
      <c r="LGX86" s="27"/>
      <c r="LGY86" s="27"/>
      <c r="LGZ86" s="27"/>
      <c r="LHA86" s="27"/>
      <c r="LHB86" s="27"/>
      <c r="LHC86" s="27"/>
      <c r="LHD86" s="27"/>
      <c r="LHE86" s="27"/>
      <c r="LHF86" s="27"/>
      <c r="LHG86" s="27"/>
      <c r="LHH86" s="27"/>
      <c r="LHI86" s="27"/>
      <c r="LHJ86" s="27"/>
      <c r="LHK86" s="27"/>
      <c r="LHL86" s="27"/>
      <c r="LHM86" s="27"/>
      <c r="LHN86" s="27"/>
      <c r="LHO86" s="27"/>
      <c r="LHP86" s="27"/>
      <c r="LHQ86" s="27"/>
      <c r="LHR86" s="27"/>
      <c r="LHS86" s="27"/>
      <c r="LHT86" s="27"/>
      <c r="LHU86" s="27"/>
      <c r="LHV86" s="27"/>
      <c r="LHW86" s="27"/>
      <c r="LHX86" s="27"/>
      <c r="LHY86" s="27"/>
      <c r="LHZ86" s="27"/>
      <c r="LIA86" s="27"/>
      <c r="LIB86" s="27"/>
      <c r="LIC86" s="27"/>
      <c r="LID86" s="27"/>
      <c r="LIE86" s="27"/>
      <c r="LIF86" s="27"/>
      <c r="LIG86" s="27"/>
      <c r="LIH86" s="27"/>
      <c r="LII86" s="27"/>
      <c r="LIJ86" s="27"/>
      <c r="LIK86" s="27"/>
      <c r="LIL86" s="27"/>
      <c r="LIM86" s="27"/>
      <c r="LIN86" s="27"/>
      <c r="LIO86" s="27"/>
      <c r="LIP86" s="27"/>
      <c r="LIQ86" s="27"/>
      <c r="LIR86" s="27"/>
      <c r="LIS86" s="27"/>
      <c r="LIT86" s="27"/>
      <c r="LIU86" s="27"/>
      <c r="LIV86" s="27"/>
      <c r="LIW86" s="27"/>
      <c r="LIX86" s="27"/>
      <c r="LIY86" s="27"/>
      <c r="LIZ86" s="27"/>
      <c r="LJA86" s="27"/>
      <c r="LJB86" s="27"/>
      <c r="LJC86" s="27"/>
      <c r="LJD86" s="27"/>
      <c r="LJE86" s="27"/>
      <c r="LJF86" s="27"/>
      <c r="LJG86" s="27"/>
      <c r="LJH86" s="27"/>
      <c r="LJI86" s="27"/>
      <c r="LJJ86" s="27"/>
      <c r="LJK86" s="27"/>
      <c r="LJL86" s="27"/>
      <c r="LJM86" s="27"/>
      <c r="LJN86" s="27"/>
      <c r="LJO86" s="27"/>
      <c r="LJP86" s="27"/>
      <c r="LJQ86" s="27"/>
      <c r="LJR86" s="27"/>
      <c r="LJS86" s="27"/>
      <c r="LJT86" s="27"/>
      <c r="LJU86" s="27"/>
      <c r="LJV86" s="27"/>
      <c r="LJW86" s="27"/>
      <c r="LJX86" s="27"/>
      <c r="LJY86" s="27"/>
      <c r="LJZ86" s="27"/>
      <c r="LKA86" s="27"/>
      <c r="LKB86" s="27"/>
      <c r="LKC86" s="27"/>
      <c r="LKD86" s="27"/>
      <c r="LKE86" s="27"/>
      <c r="LKF86" s="27"/>
      <c r="LKG86" s="27"/>
      <c r="LKH86" s="27"/>
      <c r="LKI86" s="27"/>
      <c r="LKJ86" s="27"/>
      <c r="LKK86" s="27"/>
      <c r="LKL86" s="27"/>
      <c r="LKM86" s="27"/>
      <c r="LKN86" s="27"/>
      <c r="LKO86" s="27"/>
      <c r="LKP86" s="27"/>
      <c r="LKQ86" s="27"/>
      <c r="LKR86" s="27"/>
      <c r="LKS86" s="27"/>
      <c r="LKT86" s="27"/>
      <c r="LKU86" s="27"/>
      <c r="LKV86" s="27"/>
      <c r="LKW86" s="27"/>
      <c r="LKX86" s="27"/>
      <c r="LKY86" s="27"/>
      <c r="LKZ86" s="27"/>
      <c r="LLA86" s="27"/>
      <c r="LLB86" s="27"/>
      <c r="LLC86" s="27"/>
      <c r="LLD86" s="27"/>
      <c r="LLE86" s="27"/>
      <c r="LLF86" s="27"/>
      <c r="LLG86" s="27"/>
      <c r="LLH86" s="27"/>
      <c r="LLI86" s="27"/>
      <c r="LLJ86" s="27"/>
      <c r="LLK86" s="27"/>
      <c r="LLL86" s="27"/>
      <c r="LLM86" s="27"/>
      <c r="LLN86" s="27"/>
      <c r="LLO86" s="27"/>
      <c r="LLP86" s="27"/>
      <c r="LLQ86" s="27"/>
      <c r="LLR86" s="27"/>
      <c r="LLS86" s="27"/>
      <c r="LLT86" s="27"/>
      <c r="LLU86" s="27"/>
      <c r="LLV86" s="27"/>
      <c r="LLW86" s="27"/>
      <c r="LLX86" s="27"/>
      <c r="LLY86" s="27"/>
      <c r="LLZ86" s="27"/>
      <c r="LMA86" s="27"/>
      <c r="LMB86" s="27"/>
      <c r="LMC86" s="27"/>
      <c r="LMD86" s="27"/>
      <c r="LME86" s="27"/>
      <c r="LMF86" s="27"/>
      <c r="LMG86" s="27"/>
      <c r="LMH86" s="27"/>
      <c r="LMI86" s="27"/>
      <c r="LMJ86" s="27"/>
      <c r="LMK86" s="27"/>
      <c r="LML86" s="27"/>
      <c r="LMM86" s="27"/>
      <c r="LMN86" s="27"/>
      <c r="LMO86" s="27"/>
      <c r="LMP86" s="27"/>
      <c r="LMQ86" s="27"/>
      <c r="LMR86" s="27"/>
      <c r="LMS86" s="27"/>
      <c r="LMT86" s="27"/>
      <c r="LMU86" s="27"/>
      <c r="LMV86" s="27"/>
      <c r="LMW86" s="27"/>
      <c r="LMX86" s="27"/>
      <c r="LMY86" s="27"/>
      <c r="LMZ86" s="27"/>
      <c r="LNA86" s="27"/>
      <c r="LNB86" s="27"/>
      <c r="LNC86" s="27"/>
      <c r="LND86" s="27"/>
      <c r="LNE86" s="27"/>
      <c r="LNF86" s="27"/>
      <c r="LNG86" s="27"/>
      <c r="LNH86" s="27"/>
      <c r="LNI86" s="27"/>
      <c r="LNJ86" s="27"/>
      <c r="LNK86" s="27"/>
      <c r="LNL86" s="27"/>
      <c r="LNM86" s="27"/>
      <c r="LNN86" s="27"/>
      <c r="LNO86" s="27"/>
      <c r="LNP86" s="27"/>
      <c r="LNQ86" s="27"/>
      <c r="LNR86" s="27"/>
      <c r="LNS86" s="27"/>
      <c r="LNT86" s="27"/>
      <c r="LNU86" s="27"/>
      <c r="LNV86" s="27"/>
      <c r="LNW86" s="27"/>
      <c r="LNX86" s="27"/>
      <c r="LNY86" s="27"/>
      <c r="LNZ86" s="27"/>
      <c r="LOA86" s="27"/>
      <c r="LOB86" s="27"/>
      <c r="LOC86" s="27"/>
      <c r="LOD86" s="27"/>
      <c r="LOE86" s="27"/>
      <c r="LOF86" s="27"/>
      <c r="LOG86" s="27"/>
      <c r="LOH86" s="27"/>
      <c r="LOI86" s="27"/>
      <c r="LOJ86" s="27"/>
      <c r="LOK86" s="27"/>
      <c r="LOL86" s="27"/>
      <c r="LOM86" s="27"/>
      <c r="LON86" s="27"/>
      <c r="LOO86" s="27"/>
      <c r="LOP86" s="27"/>
      <c r="LOQ86" s="27"/>
      <c r="LOR86" s="27"/>
      <c r="LOS86" s="27"/>
      <c r="LOT86" s="27"/>
      <c r="LOU86" s="27"/>
      <c r="LOV86" s="27"/>
      <c r="LOW86" s="27"/>
      <c r="LOX86" s="27"/>
      <c r="LOY86" s="27"/>
      <c r="LOZ86" s="27"/>
      <c r="LPA86" s="27"/>
      <c r="LPB86" s="27"/>
      <c r="LPC86" s="27"/>
      <c r="LPD86" s="27"/>
      <c r="LPE86" s="27"/>
      <c r="LPF86" s="27"/>
      <c r="LPG86" s="27"/>
      <c r="LPH86" s="27"/>
      <c r="LPI86" s="27"/>
      <c r="LPJ86" s="27"/>
      <c r="LPK86" s="27"/>
      <c r="LPL86" s="27"/>
      <c r="LPM86" s="27"/>
      <c r="LPN86" s="27"/>
      <c r="LPO86" s="27"/>
      <c r="LPP86" s="27"/>
      <c r="LPQ86" s="27"/>
      <c r="LPR86" s="27"/>
      <c r="LPS86" s="27"/>
      <c r="LPT86" s="27"/>
      <c r="LPU86" s="27"/>
      <c r="LPV86" s="27"/>
      <c r="LPW86" s="27"/>
      <c r="LPX86" s="27"/>
      <c r="LPY86" s="27"/>
      <c r="LPZ86" s="27"/>
      <c r="LQA86" s="27"/>
      <c r="LQB86" s="27"/>
      <c r="LQC86" s="27"/>
      <c r="LQD86" s="27"/>
      <c r="LQE86" s="27"/>
      <c r="LQF86" s="27"/>
      <c r="LQG86" s="27"/>
      <c r="LQH86" s="27"/>
      <c r="LQI86" s="27"/>
      <c r="LQJ86" s="27"/>
      <c r="LQK86" s="27"/>
      <c r="LQL86" s="27"/>
      <c r="LQM86" s="27"/>
      <c r="LQN86" s="27"/>
      <c r="LQO86" s="27"/>
      <c r="LQP86" s="27"/>
      <c r="LQQ86" s="27"/>
      <c r="LQR86" s="27"/>
      <c r="LQS86" s="27"/>
      <c r="LQT86" s="27"/>
      <c r="LQU86" s="27"/>
      <c r="LQV86" s="27"/>
      <c r="LQW86" s="27"/>
      <c r="LQX86" s="27"/>
      <c r="LQY86" s="27"/>
      <c r="LQZ86" s="27"/>
      <c r="LRA86" s="27"/>
      <c r="LRB86" s="27"/>
      <c r="LRC86" s="27"/>
      <c r="LRD86" s="27"/>
      <c r="LRE86" s="27"/>
      <c r="LRF86" s="27"/>
      <c r="LRG86" s="27"/>
      <c r="LRH86" s="27"/>
      <c r="LRI86" s="27"/>
      <c r="LRJ86" s="27"/>
      <c r="LRK86" s="27"/>
      <c r="LRL86" s="27"/>
      <c r="LRM86" s="27"/>
      <c r="LRN86" s="27"/>
      <c r="LRO86" s="27"/>
      <c r="LRP86" s="27"/>
      <c r="LRQ86" s="27"/>
      <c r="LRR86" s="27"/>
      <c r="LRS86" s="27"/>
      <c r="LRT86" s="27"/>
      <c r="LRU86" s="27"/>
      <c r="LRV86" s="27"/>
      <c r="LRW86" s="27"/>
      <c r="LRX86" s="27"/>
      <c r="LRY86" s="27"/>
      <c r="LRZ86" s="27"/>
      <c r="LSA86" s="27"/>
      <c r="LSB86" s="27"/>
      <c r="LSC86" s="27"/>
      <c r="LSD86" s="27"/>
      <c r="LSE86" s="27"/>
      <c r="LSF86" s="27"/>
      <c r="LSG86" s="27"/>
      <c r="LSH86" s="27"/>
      <c r="LSI86" s="27"/>
      <c r="LSJ86" s="27"/>
      <c r="LSK86" s="27"/>
      <c r="LSL86" s="27"/>
      <c r="LSM86" s="27"/>
      <c r="LSN86" s="27"/>
      <c r="LSO86" s="27"/>
      <c r="LSP86" s="27"/>
      <c r="LSQ86" s="27"/>
      <c r="LSR86" s="27"/>
      <c r="LSS86" s="27"/>
      <c r="LST86" s="27"/>
      <c r="LSU86" s="27"/>
      <c r="LSV86" s="27"/>
      <c r="LSW86" s="27"/>
      <c r="LSX86" s="27"/>
      <c r="LSY86" s="27"/>
      <c r="LSZ86" s="27"/>
      <c r="LTA86" s="27"/>
      <c r="LTB86" s="27"/>
      <c r="LTC86" s="27"/>
      <c r="LTD86" s="27"/>
      <c r="LTE86" s="27"/>
      <c r="LTF86" s="27"/>
      <c r="LTG86" s="27"/>
      <c r="LTH86" s="27"/>
      <c r="LTI86" s="27"/>
      <c r="LTJ86" s="27"/>
      <c r="LTK86" s="27"/>
      <c r="LTL86" s="27"/>
      <c r="LTM86" s="27"/>
      <c r="LTN86" s="27"/>
      <c r="LTO86" s="27"/>
      <c r="LTP86" s="27"/>
      <c r="LTQ86" s="27"/>
      <c r="LTR86" s="27"/>
      <c r="LTS86" s="27"/>
      <c r="LTT86" s="27"/>
      <c r="LTU86" s="27"/>
      <c r="LTV86" s="27"/>
      <c r="LTW86" s="27"/>
      <c r="LTX86" s="27"/>
      <c r="LTY86" s="27"/>
      <c r="LTZ86" s="27"/>
      <c r="LUA86" s="27"/>
      <c r="LUB86" s="27"/>
      <c r="LUC86" s="27"/>
      <c r="LUD86" s="27"/>
      <c r="LUE86" s="27"/>
      <c r="LUF86" s="27"/>
      <c r="LUG86" s="27"/>
      <c r="LUH86" s="27"/>
      <c r="LUI86" s="27"/>
      <c r="LUJ86" s="27"/>
      <c r="LUK86" s="27"/>
      <c r="LUL86" s="27"/>
      <c r="LUM86" s="27"/>
      <c r="LUN86" s="27"/>
      <c r="LUO86" s="27"/>
      <c r="LUP86" s="27"/>
      <c r="LUQ86" s="27"/>
      <c r="LUR86" s="27"/>
      <c r="LUS86" s="27"/>
      <c r="LUT86" s="27"/>
      <c r="LUU86" s="27"/>
      <c r="LUV86" s="27"/>
      <c r="LUW86" s="27"/>
      <c r="LUX86" s="27"/>
      <c r="LUY86" s="27"/>
      <c r="LUZ86" s="27"/>
      <c r="LVA86" s="27"/>
      <c r="LVB86" s="27"/>
      <c r="LVC86" s="27"/>
      <c r="LVD86" s="27"/>
      <c r="LVE86" s="27"/>
      <c r="LVF86" s="27"/>
      <c r="LVG86" s="27"/>
      <c r="LVH86" s="27"/>
      <c r="LVI86" s="27"/>
      <c r="LVJ86" s="27"/>
      <c r="LVK86" s="27"/>
      <c r="LVL86" s="27"/>
      <c r="LVM86" s="27"/>
      <c r="LVN86" s="27"/>
      <c r="LVO86" s="27"/>
      <c r="LVP86" s="27"/>
      <c r="LVQ86" s="27"/>
      <c r="LVR86" s="27"/>
      <c r="LVS86" s="27"/>
      <c r="LVT86" s="27"/>
      <c r="LVU86" s="27"/>
      <c r="LVV86" s="27"/>
      <c r="LVW86" s="27"/>
      <c r="LVX86" s="27"/>
      <c r="LVY86" s="27"/>
      <c r="LVZ86" s="27"/>
      <c r="LWA86" s="27"/>
      <c r="LWB86" s="27"/>
      <c r="LWC86" s="27"/>
      <c r="LWD86" s="27"/>
      <c r="LWE86" s="27"/>
      <c r="LWF86" s="27"/>
      <c r="LWG86" s="27"/>
      <c r="LWH86" s="27"/>
      <c r="LWI86" s="27"/>
      <c r="LWJ86" s="27"/>
      <c r="LWK86" s="27"/>
      <c r="LWL86" s="27"/>
      <c r="LWM86" s="27"/>
      <c r="LWN86" s="27"/>
      <c r="LWO86" s="27"/>
      <c r="LWP86" s="27"/>
      <c r="LWQ86" s="27"/>
      <c r="LWR86" s="27"/>
      <c r="LWS86" s="27"/>
      <c r="LWT86" s="27"/>
      <c r="LWU86" s="27"/>
      <c r="LWV86" s="27"/>
      <c r="LWW86" s="27"/>
      <c r="LWX86" s="27"/>
      <c r="LWY86" s="27"/>
      <c r="LWZ86" s="27"/>
      <c r="LXA86" s="27"/>
      <c r="LXB86" s="27"/>
      <c r="LXC86" s="27"/>
      <c r="LXD86" s="27"/>
      <c r="LXE86" s="27"/>
      <c r="LXF86" s="27"/>
      <c r="LXG86" s="27"/>
      <c r="LXH86" s="27"/>
      <c r="LXI86" s="27"/>
      <c r="LXJ86" s="27"/>
      <c r="LXK86" s="27"/>
      <c r="LXL86" s="27"/>
      <c r="LXM86" s="27"/>
      <c r="LXN86" s="27"/>
      <c r="LXO86" s="27"/>
      <c r="LXP86" s="27"/>
      <c r="LXQ86" s="27"/>
      <c r="LXR86" s="27"/>
      <c r="LXS86" s="27"/>
      <c r="LXT86" s="27"/>
      <c r="LXU86" s="27"/>
      <c r="LXV86" s="27"/>
      <c r="LXW86" s="27"/>
      <c r="LXX86" s="27"/>
      <c r="LXY86" s="27"/>
      <c r="LXZ86" s="27"/>
      <c r="LYA86" s="27"/>
      <c r="LYB86" s="27"/>
      <c r="LYC86" s="27"/>
      <c r="LYD86" s="27"/>
      <c r="LYE86" s="27"/>
      <c r="LYF86" s="27"/>
      <c r="LYG86" s="27"/>
      <c r="LYH86" s="27"/>
      <c r="LYI86" s="27"/>
      <c r="LYJ86" s="27"/>
      <c r="LYK86" s="27"/>
      <c r="LYL86" s="27"/>
      <c r="LYM86" s="27"/>
      <c r="LYN86" s="27"/>
      <c r="LYO86" s="27"/>
      <c r="LYP86" s="27"/>
      <c r="LYQ86" s="27"/>
      <c r="LYR86" s="27"/>
      <c r="LYS86" s="27"/>
      <c r="LYT86" s="27"/>
      <c r="LYU86" s="27"/>
      <c r="LYV86" s="27"/>
      <c r="LYW86" s="27"/>
      <c r="LYX86" s="27"/>
      <c r="LYY86" s="27"/>
      <c r="LYZ86" s="27"/>
      <c r="LZA86" s="27"/>
      <c r="LZB86" s="27"/>
      <c r="LZC86" s="27"/>
      <c r="LZD86" s="27"/>
      <c r="LZE86" s="27"/>
      <c r="LZF86" s="27"/>
      <c r="LZG86" s="27"/>
      <c r="LZH86" s="27"/>
      <c r="LZI86" s="27"/>
      <c r="LZJ86" s="27"/>
      <c r="LZK86" s="27"/>
      <c r="LZL86" s="27"/>
      <c r="LZM86" s="27"/>
      <c r="LZN86" s="27"/>
      <c r="LZO86" s="27"/>
      <c r="LZP86" s="27"/>
      <c r="LZQ86" s="27"/>
      <c r="LZR86" s="27"/>
      <c r="LZS86" s="27"/>
      <c r="LZT86" s="27"/>
      <c r="LZU86" s="27"/>
      <c r="LZV86" s="27"/>
      <c r="LZW86" s="27"/>
      <c r="LZX86" s="27"/>
      <c r="LZY86" s="27"/>
      <c r="LZZ86" s="27"/>
      <c r="MAA86" s="27"/>
      <c r="MAB86" s="27"/>
      <c r="MAC86" s="27"/>
      <c r="MAD86" s="27"/>
      <c r="MAE86" s="27"/>
      <c r="MAF86" s="27"/>
      <c r="MAG86" s="27"/>
      <c r="MAH86" s="27"/>
      <c r="MAI86" s="27"/>
      <c r="MAJ86" s="27"/>
      <c r="MAK86" s="27"/>
      <c r="MAL86" s="27"/>
      <c r="MAM86" s="27"/>
      <c r="MAN86" s="27"/>
      <c r="MAO86" s="27"/>
      <c r="MAP86" s="27"/>
      <c r="MAQ86" s="27"/>
      <c r="MAR86" s="27"/>
      <c r="MAS86" s="27"/>
      <c r="MAT86" s="27"/>
      <c r="MAU86" s="27"/>
      <c r="MAV86" s="27"/>
      <c r="MAW86" s="27"/>
      <c r="MAX86" s="27"/>
      <c r="MAY86" s="27"/>
      <c r="MAZ86" s="27"/>
      <c r="MBA86" s="27"/>
      <c r="MBB86" s="27"/>
      <c r="MBC86" s="27"/>
      <c r="MBD86" s="27"/>
      <c r="MBE86" s="27"/>
      <c r="MBF86" s="27"/>
      <c r="MBG86" s="27"/>
      <c r="MBH86" s="27"/>
      <c r="MBI86" s="27"/>
      <c r="MBJ86" s="27"/>
      <c r="MBK86" s="27"/>
      <c r="MBL86" s="27"/>
      <c r="MBM86" s="27"/>
      <c r="MBN86" s="27"/>
      <c r="MBO86" s="27"/>
      <c r="MBP86" s="27"/>
      <c r="MBQ86" s="27"/>
      <c r="MBR86" s="27"/>
      <c r="MBS86" s="27"/>
      <c r="MBT86" s="27"/>
      <c r="MBU86" s="27"/>
      <c r="MBV86" s="27"/>
      <c r="MBW86" s="27"/>
      <c r="MBX86" s="27"/>
      <c r="MBY86" s="27"/>
      <c r="MBZ86" s="27"/>
      <c r="MCA86" s="27"/>
      <c r="MCB86" s="27"/>
      <c r="MCC86" s="27"/>
      <c r="MCD86" s="27"/>
      <c r="MCE86" s="27"/>
      <c r="MCF86" s="27"/>
      <c r="MCG86" s="27"/>
      <c r="MCH86" s="27"/>
      <c r="MCI86" s="27"/>
      <c r="MCJ86" s="27"/>
      <c r="MCK86" s="27"/>
      <c r="MCL86" s="27"/>
      <c r="MCM86" s="27"/>
      <c r="MCN86" s="27"/>
      <c r="MCO86" s="27"/>
      <c r="MCP86" s="27"/>
      <c r="MCQ86" s="27"/>
      <c r="MCR86" s="27"/>
      <c r="MCS86" s="27"/>
      <c r="MCT86" s="27"/>
      <c r="MCU86" s="27"/>
      <c r="MCV86" s="27"/>
      <c r="MCW86" s="27"/>
      <c r="MCX86" s="27"/>
      <c r="MCY86" s="27"/>
      <c r="MCZ86" s="27"/>
      <c r="MDA86" s="27"/>
      <c r="MDB86" s="27"/>
      <c r="MDC86" s="27"/>
      <c r="MDD86" s="27"/>
      <c r="MDE86" s="27"/>
      <c r="MDF86" s="27"/>
      <c r="MDG86" s="27"/>
      <c r="MDH86" s="27"/>
      <c r="MDI86" s="27"/>
      <c r="MDJ86" s="27"/>
      <c r="MDK86" s="27"/>
      <c r="MDL86" s="27"/>
      <c r="MDM86" s="27"/>
      <c r="MDN86" s="27"/>
      <c r="MDO86" s="27"/>
      <c r="MDP86" s="27"/>
      <c r="MDQ86" s="27"/>
      <c r="MDR86" s="27"/>
      <c r="MDS86" s="27"/>
      <c r="MDT86" s="27"/>
      <c r="MDU86" s="27"/>
      <c r="MDV86" s="27"/>
      <c r="MDW86" s="27"/>
      <c r="MDX86" s="27"/>
      <c r="MDY86" s="27"/>
      <c r="MDZ86" s="27"/>
      <c r="MEA86" s="27"/>
      <c r="MEB86" s="27"/>
      <c r="MEC86" s="27"/>
      <c r="MED86" s="27"/>
      <c r="MEE86" s="27"/>
      <c r="MEF86" s="27"/>
      <c r="MEG86" s="27"/>
      <c r="MEH86" s="27"/>
      <c r="MEI86" s="27"/>
      <c r="MEJ86" s="27"/>
      <c r="MEK86" s="27"/>
      <c r="MEL86" s="27"/>
      <c r="MEM86" s="27"/>
      <c r="MEN86" s="27"/>
      <c r="MEO86" s="27"/>
      <c r="MEP86" s="27"/>
      <c r="MEQ86" s="27"/>
      <c r="MER86" s="27"/>
      <c r="MES86" s="27"/>
      <c r="MET86" s="27"/>
      <c r="MEU86" s="27"/>
      <c r="MEV86" s="27"/>
      <c r="MEW86" s="27"/>
      <c r="MEX86" s="27"/>
      <c r="MEY86" s="27"/>
      <c r="MEZ86" s="27"/>
      <c r="MFA86" s="27"/>
      <c r="MFB86" s="27"/>
      <c r="MFC86" s="27"/>
      <c r="MFD86" s="27"/>
      <c r="MFE86" s="27"/>
      <c r="MFF86" s="27"/>
      <c r="MFG86" s="27"/>
      <c r="MFH86" s="27"/>
      <c r="MFI86" s="27"/>
      <c r="MFJ86" s="27"/>
      <c r="MFK86" s="27"/>
      <c r="MFL86" s="27"/>
      <c r="MFM86" s="27"/>
      <c r="MFN86" s="27"/>
      <c r="MFO86" s="27"/>
      <c r="MFP86" s="27"/>
      <c r="MFQ86" s="27"/>
      <c r="MFR86" s="27"/>
      <c r="MFS86" s="27"/>
      <c r="MFT86" s="27"/>
      <c r="MFU86" s="27"/>
      <c r="MFV86" s="27"/>
      <c r="MFW86" s="27"/>
      <c r="MFX86" s="27"/>
      <c r="MFY86" s="27"/>
      <c r="MFZ86" s="27"/>
      <c r="MGA86" s="27"/>
      <c r="MGB86" s="27"/>
      <c r="MGC86" s="27"/>
      <c r="MGD86" s="27"/>
      <c r="MGE86" s="27"/>
      <c r="MGF86" s="27"/>
      <c r="MGG86" s="27"/>
      <c r="MGH86" s="27"/>
      <c r="MGI86" s="27"/>
      <c r="MGJ86" s="27"/>
      <c r="MGK86" s="27"/>
      <c r="MGL86" s="27"/>
      <c r="MGM86" s="27"/>
      <c r="MGN86" s="27"/>
      <c r="MGO86" s="27"/>
      <c r="MGP86" s="27"/>
      <c r="MGQ86" s="27"/>
      <c r="MGR86" s="27"/>
      <c r="MGS86" s="27"/>
      <c r="MGT86" s="27"/>
      <c r="MGU86" s="27"/>
      <c r="MGV86" s="27"/>
      <c r="MGW86" s="27"/>
      <c r="MGX86" s="27"/>
      <c r="MGY86" s="27"/>
      <c r="MGZ86" s="27"/>
      <c r="MHA86" s="27"/>
      <c r="MHB86" s="27"/>
      <c r="MHC86" s="27"/>
      <c r="MHD86" s="27"/>
      <c r="MHE86" s="27"/>
      <c r="MHF86" s="27"/>
      <c r="MHG86" s="27"/>
      <c r="MHH86" s="27"/>
      <c r="MHI86" s="27"/>
      <c r="MHJ86" s="27"/>
      <c r="MHK86" s="27"/>
      <c r="MHL86" s="27"/>
      <c r="MHM86" s="27"/>
      <c r="MHN86" s="27"/>
      <c r="MHO86" s="27"/>
      <c r="MHP86" s="27"/>
      <c r="MHQ86" s="27"/>
      <c r="MHR86" s="27"/>
      <c r="MHS86" s="27"/>
      <c r="MHT86" s="27"/>
      <c r="MHU86" s="27"/>
      <c r="MHV86" s="27"/>
      <c r="MHW86" s="27"/>
      <c r="MHX86" s="27"/>
      <c r="MHY86" s="27"/>
      <c r="MHZ86" s="27"/>
      <c r="MIA86" s="27"/>
      <c r="MIB86" s="27"/>
      <c r="MIC86" s="27"/>
      <c r="MID86" s="27"/>
      <c r="MIE86" s="27"/>
      <c r="MIF86" s="27"/>
      <c r="MIG86" s="27"/>
      <c r="MIH86" s="27"/>
      <c r="MII86" s="27"/>
      <c r="MIJ86" s="27"/>
      <c r="MIK86" s="27"/>
      <c r="MIL86" s="27"/>
      <c r="MIM86" s="27"/>
      <c r="MIN86" s="27"/>
      <c r="MIO86" s="27"/>
      <c r="MIP86" s="27"/>
      <c r="MIQ86" s="27"/>
      <c r="MIR86" s="27"/>
      <c r="MIS86" s="27"/>
      <c r="MIT86" s="27"/>
      <c r="MIU86" s="27"/>
      <c r="MIV86" s="27"/>
      <c r="MIW86" s="27"/>
      <c r="MIX86" s="27"/>
      <c r="MIY86" s="27"/>
      <c r="MIZ86" s="27"/>
      <c r="MJA86" s="27"/>
      <c r="MJB86" s="27"/>
      <c r="MJC86" s="27"/>
      <c r="MJD86" s="27"/>
      <c r="MJE86" s="27"/>
      <c r="MJF86" s="27"/>
      <c r="MJG86" s="27"/>
      <c r="MJH86" s="27"/>
      <c r="MJI86" s="27"/>
      <c r="MJJ86" s="27"/>
      <c r="MJK86" s="27"/>
      <c r="MJL86" s="27"/>
      <c r="MJM86" s="27"/>
      <c r="MJN86" s="27"/>
      <c r="MJO86" s="27"/>
      <c r="MJP86" s="27"/>
      <c r="MJQ86" s="27"/>
      <c r="MJR86" s="27"/>
      <c r="MJS86" s="27"/>
      <c r="MJT86" s="27"/>
      <c r="MJU86" s="27"/>
      <c r="MJV86" s="27"/>
      <c r="MJW86" s="27"/>
      <c r="MJX86" s="27"/>
      <c r="MJY86" s="27"/>
      <c r="MJZ86" s="27"/>
      <c r="MKA86" s="27"/>
      <c r="MKB86" s="27"/>
      <c r="MKC86" s="27"/>
      <c r="MKD86" s="27"/>
      <c r="MKE86" s="27"/>
      <c r="MKF86" s="27"/>
      <c r="MKG86" s="27"/>
      <c r="MKH86" s="27"/>
      <c r="MKI86" s="27"/>
      <c r="MKJ86" s="27"/>
      <c r="MKK86" s="27"/>
      <c r="MKL86" s="27"/>
      <c r="MKM86" s="27"/>
      <c r="MKN86" s="27"/>
      <c r="MKO86" s="27"/>
      <c r="MKP86" s="27"/>
      <c r="MKQ86" s="27"/>
      <c r="MKR86" s="27"/>
      <c r="MKS86" s="27"/>
      <c r="MKT86" s="27"/>
      <c r="MKU86" s="27"/>
      <c r="MKV86" s="27"/>
      <c r="MKW86" s="27"/>
      <c r="MKX86" s="27"/>
      <c r="MKY86" s="27"/>
      <c r="MKZ86" s="27"/>
      <c r="MLA86" s="27"/>
      <c r="MLB86" s="27"/>
      <c r="MLC86" s="27"/>
      <c r="MLD86" s="27"/>
      <c r="MLE86" s="27"/>
      <c r="MLF86" s="27"/>
      <c r="MLG86" s="27"/>
      <c r="MLH86" s="27"/>
      <c r="MLI86" s="27"/>
      <c r="MLJ86" s="27"/>
      <c r="MLK86" s="27"/>
      <c r="MLL86" s="27"/>
      <c r="MLM86" s="27"/>
      <c r="MLN86" s="27"/>
      <c r="MLO86" s="27"/>
      <c r="MLP86" s="27"/>
      <c r="MLQ86" s="27"/>
      <c r="MLR86" s="27"/>
      <c r="MLS86" s="27"/>
      <c r="MLT86" s="27"/>
      <c r="MLU86" s="27"/>
      <c r="MLV86" s="27"/>
      <c r="MLW86" s="27"/>
      <c r="MLX86" s="27"/>
      <c r="MLY86" s="27"/>
      <c r="MLZ86" s="27"/>
      <c r="MMA86" s="27"/>
      <c r="MMB86" s="27"/>
      <c r="MMC86" s="27"/>
      <c r="MMD86" s="27"/>
      <c r="MME86" s="27"/>
      <c r="MMF86" s="27"/>
      <c r="MMG86" s="27"/>
      <c r="MMH86" s="27"/>
      <c r="MMI86" s="27"/>
      <c r="MMJ86" s="27"/>
      <c r="MMK86" s="27"/>
      <c r="MML86" s="27"/>
      <c r="MMM86" s="27"/>
      <c r="MMN86" s="27"/>
      <c r="MMO86" s="27"/>
      <c r="MMP86" s="27"/>
      <c r="MMQ86" s="27"/>
      <c r="MMR86" s="27"/>
      <c r="MMS86" s="27"/>
      <c r="MMT86" s="27"/>
      <c r="MMU86" s="27"/>
      <c r="MMV86" s="27"/>
      <c r="MMW86" s="27"/>
      <c r="MMX86" s="27"/>
      <c r="MMY86" s="27"/>
      <c r="MMZ86" s="27"/>
      <c r="MNA86" s="27"/>
      <c r="MNB86" s="27"/>
      <c r="MNC86" s="27"/>
      <c r="MND86" s="27"/>
      <c r="MNE86" s="27"/>
      <c r="MNF86" s="27"/>
      <c r="MNG86" s="27"/>
      <c r="MNH86" s="27"/>
      <c r="MNI86" s="27"/>
      <c r="MNJ86" s="27"/>
      <c r="MNK86" s="27"/>
      <c r="MNL86" s="27"/>
      <c r="MNM86" s="27"/>
      <c r="MNN86" s="27"/>
      <c r="MNO86" s="27"/>
      <c r="MNP86" s="27"/>
      <c r="MNQ86" s="27"/>
      <c r="MNR86" s="27"/>
      <c r="MNS86" s="27"/>
      <c r="MNT86" s="27"/>
      <c r="MNU86" s="27"/>
      <c r="MNV86" s="27"/>
      <c r="MNW86" s="27"/>
      <c r="MNX86" s="27"/>
      <c r="MNY86" s="27"/>
      <c r="MNZ86" s="27"/>
      <c r="MOA86" s="27"/>
      <c r="MOB86" s="27"/>
      <c r="MOC86" s="27"/>
      <c r="MOD86" s="27"/>
      <c r="MOE86" s="27"/>
      <c r="MOF86" s="27"/>
      <c r="MOG86" s="27"/>
      <c r="MOH86" s="27"/>
      <c r="MOI86" s="27"/>
      <c r="MOJ86" s="27"/>
      <c r="MOK86" s="27"/>
      <c r="MOL86" s="27"/>
      <c r="MOM86" s="27"/>
      <c r="MON86" s="27"/>
      <c r="MOO86" s="27"/>
      <c r="MOP86" s="27"/>
      <c r="MOQ86" s="27"/>
      <c r="MOR86" s="27"/>
      <c r="MOS86" s="27"/>
      <c r="MOT86" s="27"/>
      <c r="MOU86" s="27"/>
      <c r="MOV86" s="27"/>
      <c r="MOW86" s="27"/>
      <c r="MOX86" s="27"/>
      <c r="MOY86" s="27"/>
      <c r="MOZ86" s="27"/>
      <c r="MPA86" s="27"/>
      <c r="MPB86" s="27"/>
      <c r="MPC86" s="27"/>
      <c r="MPD86" s="27"/>
      <c r="MPE86" s="27"/>
      <c r="MPF86" s="27"/>
      <c r="MPG86" s="27"/>
      <c r="MPH86" s="27"/>
      <c r="MPI86" s="27"/>
      <c r="MPJ86" s="27"/>
      <c r="MPK86" s="27"/>
      <c r="MPL86" s="27"/>
      <c r="MPM86" s="27"/>
      <c r="MPN86" s="27"/>
      <c r="MPO86" s="27"/>
      <c r="MPP86" s="27"/>
      <c r="MPQ86" s="27"/>
      <c r="MPR86" s="27"/>
      <c r="MPS86" s="27"/>
      <c r="MPT86" s="27"/>
      <c r="MPU86" s="27"/>
      <c r="MPV86" s="27"/>
      <c r="MPW86" s="27"/>
      <c r="MPX86" s="27"/>
      <c r="MPY86" s="27"/>
      <c r="MPZ86" s="27"/>
      <c r="MQA86" s="27"/>
      <c r="MQB86" s="27"/>
      <c r="MQC86" s="27"/>
      <c r="MQD86" s="27"/>
      <c r="MQE86" s="27"/>
      <c r="MQF86" s="27"/>
      <c r="MQG86" s="27"/>
      <c r="MQH86" s="27"/>
      <c r="MQI86" s="27"/>
      <c r="MQJ86" s="27"/>
      <c r="MQK86" s="27"/>
      <c r="MQL86" s="27"/>
      <c r="MQM86" s="27"/>
      <c r="MQN86" s="27"/>
      <c r="MQO86" s="27"/>
      <c r="MQP86" s="27"/>
      <c r="MQQ86" s="27"/>
      <c r="MQR86" s="27"/>
      <c r="MQS86" s="27"/>
      <c r="MQT86" s="27"/>
      <c r="MQU86" s="27"/>
      <c r="MQV86" s="27"/>
      <c r="MQW86" s="27"/>
      <c r="MQX86" s="27"/>
      <c r="MQY86" s="27"/>
      <c r="MQZ86" s="27"/>
      <c r="MRA86" s="27"/>
      <c r="MRB86" s="27"/>
      <c r="MRC86" s="27"/>
      <c r="MRD86" s="27"/>
      <c r="MRE86" s="27"/>
      <c r="MRF86" s="27"/>
      <c r="MRG86" s="27"/>
      <c r="MRH86" s="27"/>
      <c r="MRI86" s="27"/>
      <c r="MRJ86" s="27"/>
      <c r="MRK86" s="27"/>
      <c r="MRL86" s="27"/>
      <c r="MRM86" s="27"/>
      <c r="MRN86" s="27"/>
      <c r="MRO86" s="27"/>
      <c r="MRP86" s="27"/>
      <c r="MRQ86" s="27"/>
      <c r="MRR86" s="27"/>
      <c r="MRS86" s="27"/>
      <c r="MRT86" s="27"/>
      <c r="MRU86" s="27"/>
      <c r="MRV86" s="27"/>
      <c r="MRW86" s="27"/>
      <c r="MRX86" s="27"/>
      <c r="MRY86" s="27"/>
      <c r="MRZ86" s="27"/>
      <c r="MSA86" s="27"/>
      <c r="MSB86" s="27"/>
      <c r="MSC86" s="27"/>
      <c r="MSD86" s="27"/>
      <c r="MSE86" s="27"/>
      <c r="MSF86" s="27"/>
      <c r="MSG86" s="27"/>
      <c r="MSH86" s="27"/>
      <c r="MSI86" s="27"/>
      <c r="MSJ86" s="27"/>
      <c r="MSK86" s="27"/>
      <c r="MSL86" s="27"/>
      <c r="MSM86" s="27"/>
      <c r="MSN86" s="27"/>
      <c r="MSO86" s="27"/>
      <c r="MSP86" s="27"/>
      <c r="MSQ86" s="27"/>
      <c r="MSR86" s="27"/>
      <c r="MSS86" s="27"/>
      <c r="MST86" s="27"/>
      <c r="MSU86" s="27"/>
      <c r="MSV86" s="27"/>
      <c r="MSW86" s="27"/>
      <c r="MSX86" s="27"/>
      <c r="MSY86" s="27"/>
      <c r="MSZ86" s="27"/>
      <c r="MTA86" s="27"/>
      <c r="MTB86" s="27"/>
      <c r="MTC86" s="27"/>
      <c r="MTD86" s="27"/>
      <c r="MTE86" s="27"/>
      <c r="MTF86" s="27"/>
      <c r="MTG86" s="27"/>
      <c r="MTH86" s="27"/>
      <c r="MTI86" s="27"/>
      <c r="MTJ86" s="27"/>
      <c r="MTK86" s="27"/>
      <c r="MTL86" s="27"/>
      <c r="MTM86" s="27"/>
      <c r="MTN86" s="27"/>
      <c r="MTO86" s="27"/>
      <c r="MTP86" s="27"/>
      <c r="MTQ86" s="27"/>
      <c r="MTR86" s="27"/>
      <c r="MTS86" s="27"/>
      <c r="MTT86" s="27"/>
      <c r="MTU86" s="27"/>
      <c r="MTV86" s="27"/>
      <c r="MTW86" s="27"/>
      <c r="MTX86" s="27"/>
      <c r="MTY86" s="27"/>
      <c r="MTZ86" s="27"/>
      <c r="MUA86" s="27"/>
      <c r="MUB86" s="27"/>
      <c r="MUC86" s="27"/>
      <c r="MUD86" s="27"/>
      <c r="MUE86" s="27"/>
      <c r="MUF86" s="27"/>
      <c r="MUG86" s="27"/>
      <c r="MUH86" s="27"/>
      <c r="MUI86" s="27"/>
      <c r="MUJ86" s="27"/>
      <c r="MUK86" s="27"/>
      <c r="MUL86" s="27"/>
      <c r="MUM86" s="27"/>
      <c r="MUN86" s="27"/>
      <c r="MUO86" s="27"/>
      <c r="MUP86" s="27"/>
      <c r="MUQ86" s="27"/>
      <c r="MUR86" s="27"/>
      <c r="MUS86" s="27"/>
      <c r="MUT86" s="27"/>
      <c r="MUU86" s="27"/>
      <c r="MUV86" s="27"/>
      <c r="MUW86" s="27"/>
      <c r="MUX86" s="27"/>
      <c r="MUY86" s="27"/>
      <c r="MUZ86" s="27"/>
      <c r="MVA86" s="27"/>
      <c r="MVB86" s="27"/>
      <c r="MVC86" s="27"/>
      <c r="MVD86" s="27"/>
      <c r="MVE86" s="27"/>
      <c r="MVF86" s="27"/>
      <c r="MVG86" s="27"/>
      <c r="MVH86" s="27"/>
      <c r="MVI86" s="27"/>
      <c r="MVJ86" s="27"/>
      <c r="MVK86" s="27"/>
      <c r="MVL86" s="27"/>
      <c r="MVM86" s="27"/>
      <c r="MVN86" s="27"/>
      <c r="MVO86" s="27"/>
      <c r="MVP86" s="27"/>
      <c r="MVQ86" s="27"/>
      <c r="MVR86" s="27"/>
      <c r="MVS86" s="27"/>
      <c r="MVT86" s="27"/>
      <c r="MVU86" s="27"/>
      <c r="MVV86" s="27"/>
      <c r="MVW86" s="27"/>
      <c r="MVX86" s="27"/>
      <c r="MVY86" s="27"/>
      <c r="MVZ86" s="27"/>
      <c r="MWA86" s="27"/>
      <c r="MWB86" s="27"/>
      <c r="MWC86" s="27"/>
      <c r="MWD86" s="27"/>
      <c r="MWE86" s="27"/>
      <c r="MWF86" s="27"/>
      <c r="MWG86" s="27"/>
      <c r="MWH86" s="27"/>
      <c r="MWI86" s="27"/>
      <c r="MWJ86" s="27"/>
      <c r="MWK86" s="27"/>
      <c r="MWL86" s="27"/>
      <c r="MWM86" s="27"/>
      <c r="MWN86" s="27"/>
      <c r="MWO86" s="27"/>
      <c r="MWP86" s="27"/>
      <c r="MWQ86" s="27"/>
      <c r="MWR86" s="27"/>
      <c r="MWS86" s="27"/>
      <c r="MWT86" s="27"/>
      <c r="MWU86" s="27"/>
      <c r="MWV86" s="27"/>
      <c r="MWW86" s="27"/>
      <c r="MWX86" s="27"/>
      <c r="MWY86" s="27"/>
      <c r="MWZ86" s="27"/>
      <c r="MXA86" s="27"/>
      <c r="MXB86" s="27"/>
      <c r="MXC86" s="27"/>
      <c r="MXD86" s="27"/>
      <c r="MXE86" s="27"/>
      <c r="MXF86" s="27"/>
      <c r="MXG86" s="27"/>
      <c r="MXH86" s="27"/>
      <c r="MXI86" s="27"/>
      <c r="MXJ86" s="27"/>
      <c r="MXK86" s="27"/>
      <c r="MXL86" s="27"/>
      <c r="MXM86" s="27"/>
      <c r="MXN86" s="27"/>
      <c r="MXO86" s="27"/>
      <c r="MXP86" s="27"/>
      <c r="MXQ86" s="27"/>
      <c r="MXR86" s="27"/>
      <c r="MXS86" s="27"/>
      <c r="MXT86" s="27"/>
      <c r="MXU86" s="27"/>
      <c r="MXV86" s="27"/>
      <c r="MXW86" s="27"/>
      <c r="MXX86" s="27"/>
      <c r="MXY86" s="27"/>
      <c r="MXZ86" s="27"/>
      <c r="MYA86" s="27"/>
      <c r="MYB86" s="27"/>
      <c r="MYC86" s="27"/>
      <c r="MYD86" s="27"/>
      <c r="MYE86" s="27"/>
      <c r="MYF86" s="27"/>
      <c r="MYG86" s="27"/>
      <c r="MYH86" s="27"/>
      <c r="MYI86" s="27"/>
      <c r="MYJ86" s="27"/>
      <c r="MYK86" s="27"/>
      <c r="MYL86" s="27"/>
      <c r="MYM86" s="27"/>
      <c r="MYN86" s="27"/>
      <c r="MYO86" s="27"/>
      <c r="MYP86" s="27"/>
      <c r="MYQ86" s="27"/>
      <c r="MYR86" s="27"/>
      <c r="MYS86" s="27"/>
      <c r="MYT86" s="27"/>
      <c r="MYU86" s="27"/>
      <c r="MYV86" s="27"/>
      <c r="MYW86" s="27"/>
      <c r="MYX86" s="27"/>
      <c r="MYY86" s="27"/>
      <c r="MYZ86" s="27"/>
      <c r="MZA86" s="27"/>
      <c r="MZB86" s="27"/>
      <c r="MZC86" s="27"/>
      <c r="MZD86" s="27"/>
      <c r="MZE86" s="27"/>
      <c r="MZF86" s="27"/>
      <c r="MZG86" s="27"/>
      <c r="MZH86" s="27"/>
      <c r="MZI86" s="27"/>
      <c r="MZJ86" s="27"/>
      <c r="MZK86" s="27"/>
      <c r="MZL86" s="27"/>
      <c r="MZM86" s="27"/>
      <c r="MZN86" s="27"/>
      <c r="MZO86" s="27"/>
      <c r="MZP86" s="27"/>
      <c r="MZQ86" s="27"/>
      <c r="MZR86" s="27"/>
      <c r="MZS86" s="27"/>
      <c r="MZT86" s="27"/>
      <c r="MZU86" s="27"/>
      <c r="MZV86" s="27"/>
      <c r="MZW86" s="27"/>
      <c r="MZX86" s="27"/>
      <c r="MZY86" s="27"/>
      <c r="MZZ86" s="27"/>
      <c r="NAA86" s="27"/>
      <c r="NAB86" s="27"/>
      <c r="NAC86" s="27"/>
      <c r="NAD86" s="27"/>
      <c r="NAE86" s="27"/>
      <c r="NAF86" s="27"/>
      <c r="NAG86" s="27"/>
      <c r="NAH86" s="27"/>
      <c r="NAI86" s="27"/>
      <c r="NAJ86" s="27"/>
      <c r="NAK86" s="27"/>
      <c r="NAL86" s="27"/>
      <c r="NAM86" s="27"/>
      <c r="NAN86" s="27"/>
      <c r="NAO86" s="27"/>
      <c r="NAP86" s="27"/>
      <c r="NAQ86" s="27"/>
      <c r="NAR86" s="27"/>
      <c r="NAS86" s="27"/>
      <c r="NAT86" s="27"/>
      <c r="NAU86" s="27"/>
      <c r="NAV86" s="27"/>
      <c r="NAW86" s="27"/>
      <c r="NAX86" s="27"/>
      <c r="NAY86" s="27"/>
      <c r="NAZ86" s="27"/>
      <c r="NBA86" s="27"/>
      <c r="NBB86" s="27"/>
      <c r="NBC86" s="27"/>
      <c r="NBD86" s="27"/>
      <c r="NBE86" s="27"/>
      <c r="NBF86" s="27"/>
      <c r="NBG86" s="27"/>
      <c r="NBH86" s="27"/>
      <c r="NBI86" s="27"/>
      <c r="NBJ86" s="27"/>
      <c r="NBK86" s="27"/>
      <c r="NBL86" s="27"/>
      <c r="NBM86" s="27"/>
      <c r="NBN86" s="27"/>
      <c r="NBO86" s="27"/>
      <c r="NBP86" s="27"/>
      <c r="NBQ86" s="27"/>
      <c r="NBR86" s="27"/>
      <c r="NBS86" s="27"/>
      <c r="NBT86" s="27"/>
      <c r="NBU86" s="27"/>
      <c r="NBV86" s="27"/>
      <c r="NBW86" s="27"/>
      <c r="NBX86" s="27"/>
      <c r="NBY86" s="27"/>
      <c r="NBZ86" s="27"/>
      <c r="NCA86" s="27"/>
      <c r="NCB86" s="27"/>
      <c r="NCC86" s="27"/>
      <c r="NCD86" s="27"/>
      <c r="NCE86" s="27"/>
      <c r="NCF86" s="27"/>
      <c r="NCG86" s="27"/>
      <c r="NCH86" s="27"/>
      <c r="NCI86" s="27"/>
      <c r="NCJ86" s="27"/>
      <c r="NCK86" s="27"/>
      <c r="NCL86" s="27"/>
      <c r="NCM86" s="27"/>
      <c r="NCN86" s="27"/>
      <c r="NCO86" s="27"/>
      <c r="NCP86" s="27"/>
      <c r="NCQ86" s="27"/>
      <c r="NCR86" s="27"/>
      <c r="NCS86" s="27"/>
      <c r="NCT86" s="27"/>
      <c r="NCU86" s="27"/>
      <c r="NCV86" s="27"/>
      <c r="NCW86" s="27"/>
      <c r="NCX86" s="27"/>
      <c r="NCY86" s="27"/>
      <c r="NCZ86" s="27"/>
      <c r="NDA86" s="27"/>
      <c r="NDB86" s="27"/>
      <c r="NDC86" s="27"/>
      <c r="NDD86" s="27"/>
      <c r="NDE86" s="27"/>
      <c r="NDF86" s="27"/>
      <c r="NDG86" s="27"/>
      <c r="NDH86" s="27"/>
      <c r="NDI86" s="27"/>
      <c r="NDJ86" s="27"/>
      <c r="NDK86" s="27"/>
      <c r="NDL86" s="27"/>
      <c r="NDM86" s="27"/>
      <c r="NDN86" s="27"/>
      <c r="NDO86" s="27"/>
      <c r="NDP86" s="27"/>
      <c r="NDQ86" s="27"/>
      <c r="NDR86" s="27"/>
      <c r="NDS86" s="27"/>
      <c r="NDT86" s="27"/>
      <c r="NDU86" s="27"/>
      <c r="NDV86" s="27"/>
      <c r="NDW86" s="27"/>
      <c r="NDX86" s="27"/>
      <c r="NDY86" s="27"/>
      <c r="NDZ86" s="27"/>
      <c r="NEA86" s="27"/>
      <c r="NEB86" s="27"/>
      <c r="NEC86" s="27"/>
      <c r="NED86" s="27"/>
      <c r="NEE86" s="27"/>
      <c r="NEF86" s="27"/>
      <c r="NEG86" s="27"/>
      <c r="NEH86" s="27"/>
      <c r="NEI86" s="27"/>
      <c r="NEJ86" s="27"/>
      <c r="NEK86" s="27"/>
      <c r="NEL86" s="27"/>
      <c r="NEM86" s="27"/>
      <c r="NEN86" s="27"/>
      <c r="NEO86" s="27"/>
      <c r="NEP86" s="27"/>
      <c r="NEQ86" s="27"/>
      <c r="NER86" s="27"/>
      <c r="NES86" s="27"/>
      <c r="NET86" s="27"/>
      <c r="NEU86" s="27"/>
      <c r="NEV86" s="27"/>
      <c r="NEW86" s="27"/>
      <c r="NEX86" s="27"/>
      <c r="NEY86" s="27"/>
      <c r="NEZ86" s="27"/>
      <c r="NFA86" s="27"/>
      <c r="NFB86" s="27"/>
      <c r="NFC86" s="27"/>
      <c r="NFD86" s="27"/>
      <c r="NFE86" s="27"/>
      <c r="NFF86" s="27"/>
      <c r="NFG86" s="27"/>
      <c r="NFH86" s="27"/>
      <c r="NFI86" s="27"/>
      <c r="NFJ86" s="27"/>
      <c r="NFK86" s="27"/>
      <c r="NFL86" s="27"/>
      <c r="NFM86" s="27"/>
      <c r="NFN86" s="27"/>
      <c r="NFO86" s="27"/>
      <c r="NFP86" s="27"/>
      <c r="NFQ86" s="27"/>
      <c r="NFR86" s="27"/>
      <c r="NFS86" s="27"/>
      <c r="NFT86" s="27"/>
      <c r="NFU86" s="27"/>
      <c r="NFV86" s="27"/>
      <c r="NFW86" s="27"/>
      <c r="NFX86" s="27"/>
      <c r="NFY86" s="27"/>
      <c r="NFZ86" s="27"/>
      <c r="NGA86" s="27"/>
      <c r="NGB86" s="27"/>
      <c r="NGC86" s="27"/>
      <c r="NGD86" s="27"/>
      <c r="NGE86" s="27"/>
      <c r="NGF86" s="27"/>
      <c r="NGG86" s="27"/>
      <c r="NGH86" s="27"/>
      <c r="NGI86" s="27"/>
      <c r="NGJ86" s="27"/>
      <c r="NGK86" s="27"/>
      <c r="NGL86" s="27"/>
      <c r="NGM86" s="27"/>
      <c r="NGN86" s="27"/>
      <c r="NGO86" s="27"/>
      <c r="NGP86" s="27"/>
      <c r="NGQ86" s="27"/>
      <c r="NGR86" s="27"/>
      <c r="NGS86" s="27"/>
      <c r="NGT86" s="27"/>
      <c r="NGU86" s="27"/>
      <c r="NGV86" s="27"/>
      <c r="NGW86" s="27"/>
      <c r="NGX86" s="27"/>
      <c r="NGY86" s="27"/>
      <c r="NGZ86" s="27"/>
      <c r="NHA86" s="27"/>
      <c r="NHB86" s="27"/>
      <c r="NHC86" s="27"/>
      <c r="NHD86" s="27"/>
      <c r="NHE86" s="27"/>
      <c r="NHF86" s="27"/>
      <c r="NHG86" s="27"/>
      <c r="NHH86" s="27"/>
      <c r="NHI86" s="27"/>
      <c r="NHJ86" s="27"/>
      <c r="NHK86" s="27"/>
      <c r="NHL86" s="27"/>
      <c r="NHM86" s="27"/>
      <c r="NHN86" s="27"/>
      <c r="NHO86" s="27"/>
      <c r="NHP86" s="27"/>
      <c r="NHQ86" s="27"/>
      <c r="NHR86" s="27"/>
      <c r="NHS86" s="27"/>
      <c r="NHT86" s="27"/>
      <c r="NHU86" s="27"/>
      <c r="NHV86" s="27"/>
      <c r="NHW86" s="27"/>
      <c r="NHX86" s="27"/>
      <c r="NHY86" s="27"/>
      <c r="NHZ86" s="27"/>
      <c r="NIA86" s="27"/>
      <c r="NIB86" s="27"/>
      <c r="NIC86" s="27"/>
      <c r="NID86" s="27"/>
      <c r="NIE86" s="27"/>
      <c r="NIF86" s="27"/>
      <c r="NIG86" s="27"/>
      <c r="NIH86" s="27"/>
      <c r="NII86" s="27"/>
      <c r="NIJ86" s="27"/>
      <c r="NIK86" s="27"/>
      <c r="NIL86" s="27"/>
      <c r="NIM86" s="27"/>
      <c r="NIN86" s="27"/>
      <c r="NIO86" s="27"/>
      <c r="NIP86" s="27"/>
      <c r="NIQ86" s="27"/>
      <c r="NIR86" s="27"/>
      <c r="NIS86" s="27"/>
      <c r="NIT86" s="27"/>
      <c r="NIU86" s="27"/>
      <c r="NIV86" s="27"/>
      <c r="NIW86" s="27"/>
      <c r="NIX86" s="27"/>
      <c r="NIY86" s="27"/>
      <c r="NIZ86" s="27"/>
      <c r="NJA86" s="27"/>
      <c r="NJB86" s="27"/>
      <c r="NJC86" s="27"/>
      <c r="NJD86" s="27"/>
      <c r="NJE86" s="27"/>
      <c r="NJF86" s="27"/>
      <c r="NJG86" s="27"/>
      <c r="NJH86" s="27"/>
      <c r="NJI86" s="27"/>
      <c r="NJJ86" s="27"/>
      <c r="NJK86" s="27"/>
      <c r="NJL86" s="27"/>
      <c r="NJM86" s="27"/>
      <c r="NJN86" s="27"/>
      <c r="NJO86" s="27"/>
      <c r="NJP86" s="27"/>
      <c r="NJQ86" s="27"/>
      <c r="NJR86" s="27"/>
      <c r="NJS86" s="27"/>
      <c r="NJT86" s="27"/>
      <c r="NJU86" s="27"/>
      <c r="NJV86" s="27"/>
      <c r="NJW86" s="27"/>
      <c r="NJX86" s="27"/>
      <c r="NJY86" s="27"/>
      <c r="NJZ86" s="27"/>
      <c r="NKA86" s="27"/>
      <c r="NKB86" s="27"/>
      <c r="NKC86" s="27"/>
      <c r="NKD86" s="27"/>
      <c r="NKE86" s="27"/>
      <c r="NKF86" s="27"/>
      <c r="NKG86" s="27"/>
      <c r="NKH86" s="27"/>
      <c r="NKI86" s="27"/>
      <c r="NKJ86" s="27"/>
      <c r="NKK86" s="27"/>
      <c r="NKL86" s="27"/>
      <c r="NKM86" s="27"/>
      <c r="NKN86" s="27"/>
      <c r="NKO86" s="27"/>
      <c r="NKP86" s="27"/>
      <c r="NKQ86" s="27"/>
      <c r="NKR86" s="27"/>
      <c r="NKS86" s="27"/>
      <c r="NKT86" s="27"/>
      <c r="NKU86" s="27"/>
      <c r="NKV86" s="27"/>
      <c r="NKW86" s="27"/>
      <c r="NKX86" s="27"/>
      <c r="NKY86" s="27"/>
      <c r="NKZ86" s="27"/>
      <c r="NLA86" s="27"/>
      <c r="NLB86" s="27"/>
      <c r="NLC86" s="27"/>
      <c r="NLD86" s="27"/>
      <c r="NLE86" s="27"/>
      <c r="NLF86" s="27"/>
      <c r="NLG86" s="27"/>
      <c r="NLH86" s="27"/>
      <c r="NLI86" s="27"/>
      <c r="NLJ86" s="27"/>
      <c r="NLK86" s="27"/>
      <c r="NLL86" s="27"/>
      <c r="NLM86" s="27"/>
      <c r="NLN86" s="27"/>
      <c r="NLO86" s="27"/>
      <c r="NLP86" s="27"/>
      <c r="NLQ86" s="27"/>
      <c r="NLR86" s="27"/>
      <c r="NLS86" s="27"/>
      <c r="NLT86" s="27"/>
      <c r="NLU86" s="27"/>
      <c r="NLV86" s="27"/>
      <c r="NLW86" s="27"/>
      <c r="NLX86" s="27"/>
      <c r="NLY86" s="27"/>
      <c r="NLZ86" s="27"/>
      <c r="NMA86" s="27"/>
      <c r="NMB86" s="27"/>
      <c r="NMC86" s="27"/>
      <c r="NMD86" s="27"/>
      <c r="NME86" s="27"/>
      <c r="NMF86" s="27"/>
      <c r="NMG86" s="27"/>
      <c r="NMH86" s="27"/>
      <c r="NMI86" s="27"/>
      <c r="NMJ86" s="27"/>
      <c r="NMK86" s="27"/>
      <c r="NML86" s="27"/>
      <c r="NMM86" s="27"/>
      <c r="NMN86" s="27"/>
      <c r="NMO86" s="27"/>
      <c r="NMP86" s="27"/>
      <c r="NMQ86" s="27"/>
      <c r="NMR86" s="27"/>
      <c r="NMS86" s="27"/>
      <c r="NMT86" s="27"/>
      <c r="NMU86" s="27"/>
      <c r="NMV86" s="27"/>
      <c r="NMW86" s="27"/>
      <c r="NMX86" s="27"/>
      <c r="NMY86" s="27"/>
      <c r="NMZ86" s="27"/>
      <c r="NNA86" s="27"/>
      <c r="NNB86" s="27"/>
      <c r="NNC86" s="27"/>
      <c r="NND86" s="27"/>
      <c r="NNE86" s="27"/>
      <c r="NNF86" s="27"/>
      <c r="NNG86" s="27"/>
      <c r="NNH86" s="27"/>
      <c r="NNI86" s="27"/>
      <c r="NNJ86" s="27"/>
      <c r="NNK86" s="27"/>
      <c r="NNL86" s="27"/>
      <c r="NNM86" s="27"/>
      <c r="NNN86" s="27"/>
      <c r="NNO86" s="27"/>
      <c r="NNP86" s="27"/>
      <c r="NNQ86" s="27"/>
      <c r="NNR86" s="27"/>
      <c r="NNS86" s="27"/>
      <c r="NNT86" s="27"/>
      <c r="NNU86" s="27"/>
      <c r="NNV86" s="27"/>
      <c r="NNW86" s="27"/>
      <c r="NNX86" s="27"/>
      <c r="NNY86" s="27"/>
      <c r="NNZ86" s="27"/>
      <c r="NOA86" s="27"/>
      <c r="NOB86" s="27"/>
      <c r="NOC86" s="27"/>
      <c r="NOD86" s="27"/>
      <c r="NOE86" s="27"/>
      <c r="NOF86" s="27"/>
      <c r="NOG86" s="27"/>
      <c r="NOH86" s="27"/>
      <c r="NOI86" s="27"/>
      <c r="NOJ86" s="27"/>
      <c r="NOK86" s="27"/>
      <c r="NOL86" s="27"/>
      <c r="NOM86" s="27"/>
      <c r="NON86" s="27"/>
      <c r="NOO86" s="27"/>
      <c r="NOP86" s="27"/>
      <c r="NOQ86" s="27"/>
      <c r="NOR86" s="27"/>
      <c r="NOS86" s="27"/>
      <c r="NOT86" s="27"/>
      <c r="NOU86" s="27"/>
      <c r="NOV86" s="27"/>
      <c r="NOW86" s="27"/>
      <c r="NOX86" s="27"/>
      <c r="NOY86" s="27"/>
      <c r="NOZ86" s="27"/>
      <c r="NPA86" s="27"/>
      <c r="NPB86" s="27"/>
      <c r="NPC86" s="27"/>
      <c r="NPD86" s="27"/>
      <c r="NPE86" s="27"/>
      <c r="NPF86" s="27"/>
      <c r="NPG86" s="27"/>
      <c r="NPH86" s="27"/>
      <c r="NPI86" s="27"/>
      <c r="NPJ86" s="27"/>
      <c r="NPK86" s="27"/>
      <c r="NPL86" s="27"/>
      <c r="NPM86" s="27"/>
      <c r="NPN86" s="27"/>
      <c r="NPO86" s="27"/>
      <c r="NPP86" s="27"/>
      <c r="NPQ86" s="27"/>
      <c r="NPR86" s="27"/>
      <c r="NPS86" s="27"/>
      <c r="NPT86" s="27"/>
      <c r="NPU86" s="27"/>
      <c r="NPV86" s="27"/>
      <c r="NPW86" s="27"/>
      <c r="NPX86" s="27"/>
      <c r="NPY86" s="27"/>
      <c r="NPZ86" s="27"/>
      <c r="NQA86" s="27"/>
      <c r="NQB86" s="27"/>
      <c r="NQC86" s="27"/>
      <c r="NQD86" s="27"/>
      <c r="NQE86" s="27"/>
      <c r="NQF86" s="27"/>
      <c r="NQG86" s="27"/>
      <c r="NQH86" s="27"/>
      <c r="NQI86" s="27"/>
      <c r="NQJ86" s="27"/>
      <c r="NQK86" s="27"/>
      <c r="NQL86" s="27"/>
      <c r="NQM86" s="27"/>
      <c r="NQN86" s="27"/>
      <c r="NQO86" s="27"/>
      <c r="NQP86" s="27"/>
      <c r="NQQ86" s="27"/>
      <c r="NQR86" s="27"/>
      <c r="NQS86" s="27"/>
      <c r="NQT86" s="27"/>
      <c r="NQU86" s="27"/>
      <c r="NQV86" s="27"/>
      <c r="NQW86" s="27"/>
      <c r="NQX86" s="27"/>
      <c r="NQY86" s="27"/>
      <c r="NQZ86" s="27"/>
      <c r="NRA86" s="27"/>
      <c r="NRB86" s="27"/>
      <c r="NRC86" s="27"/>
      <c r="NRD86" s="27"/>
      <c r="NRE86" s="27"/>
      <c r="NRF86" s="27"/>
      <c r="NRG86" s="27"/>
      <c r="NRH86" s="27"/>
      <c r="NRI86" s="27"/>
      <c r="NRJ86" s="27"/>
      <c r="NRK86" s="27"/>
      <c r="NRL86" s="27"/>
      <c r="NRM86" s="27"/>
      <c r="NRN86" s="27"/>
      <c r="NRO86" s="27"/>
      <c r="NRP86" s="27"/>
      <c r="NRQ86" s="27"/>
      <c r="NRR86" s="27"/>
      <c r="NRS86" s="27"/>
      <c r="NRT86" s="27"/>
      <c r="NRU86" s="27"/>
      <c r="NRV86" s="27"/>
      <c r="NRW86" s="27"/>
      <c r="NRX86" s="27"/>
      <c r="NRY86" s="27"/>
      <c r="NRZ86" s="27"/>
      <c r="NSA86" s="27"/>
      <c r="NSB86" s="27"/>
      <c r="NSC86" s="27"/>
      <c r="NSD86" s="27"/>
      <c r="NSE86" s="27"/>
      <c r="NSF86" s="27"/>
      <c r="NSG86" s="27"/>
      <c r="NSH86" s="27"/>
      <c r="NSI86" s="27"/>
      <c r="NSJ86" s="27"/>
      <c r="NSK86" s="27"/>
      <c r="NSL86" s="27"/>
      <c r="NSM86" s="27"/>
      <c r="NSN86" s="27"/>
      <c r="NSO86" s="27"/>
      <c r="NSP86" s="27"/>
      <c r="NSQ86" s="27"/>
      <c r="NSR86" s="27"/>
      <c r="NSS86" s="27"/>
      <c r="NST86" s="27"/>
      <c r="NSU86" s="27"/>
      <c r="NSV86" s="27"/>
      <c r="NSW86" s="27"/>
      <c r="NSX86" s="27"/>
      <c r="NSY86" s="27"/>
      <c r="NSZ86" s="27"/>
      <c r="NTA86" s="27"/>
      <c r="NTB86" s="27"/>
      <c r="NTC86" s="27"/>
      <c r="NTD86" s="27"/>
      <c r="NTE86" s="27"/>
      <c r="NTF86" s="27"/>
      <c r="NTG86" s="27"/>
      <c r="NTH86" s="27"/>
      <c r="NTI86" s="27"/>
      <c r="NTJ86" s="27"/>
      <c r="NTK86" s="27"/>
      <c r="NTL86" s="27"/>
      <c r="NTM86" s="27"/>
      <c r="NTN86" s="27"/>
      <c r="NTO86" s="27"/>
      <c r="NTP86" s="27"/>
      <c r="NTQ86" s="27"/>
      <c r="NTR86" s="27"/>
      <c r="NTS86" s="27"/>
      <c r="NTT86" s="27"/>
      <c r="NTU86" s="27"/>
      <c r="NTV86" s="27"/>
      <c r="NTW86" s="27"/>
      <c r="NTX86" s="27"/>
      <c r="NTY86" s="27"/>
      <c r="NTZ86" s="27"/>
      <c r="NUA86" s="27"/>
      <c r="NUB86" s="27"/>
      <c r="NUC86" s="27"/>
      <c r="NUD86" s="27"/>
      <c r="NUE86" s="27"/>
      <c r="NUF86" s="27"/>
      <c r="NUG86" s="27"/>
      <c r="NUH86" s="27"/>
      <c r="NUI86" s="27"/>
      <c r="NUJ86" s="27"/>
      <c r="NUK86" s="27"/>
      <c r="NUL86" s="27"/>
      <c r="NUM86" s="27"/>
      <c r="NUN86" s="27"/>
      <c r="NUO86" s="27"/>
      <c r="NUP86" s="27"/>
      <c r="NUQ86" s="27"/>
      <c r="NUR86" s="27"/>
      <c r="NUS86" s="27"/>
      <c r="NUT86" s="27"/>
      <c r="NUU86" s="27"/>
      <c r="NUV86" s="27"/>
      <c r="NUW86" s="27"/>
      <c r="NUX86" s="27"/>
      <c r="NUY86" s="27"/>
      <c r="NUZ86" s="27"/>
      <c r="NVA86" s="27"/>
      <c r="NVB86" s="27"/>
      <c r="NVC86" s="27"/>
      <c r="NVD86" s="27"/>
      <c r="NVE86" s="27"/>
      <c r="NVF86" s="27"/>
      <c r="NVG86" s="27"/>
      <c r="NVH86" s="27"/>
      <c r="NVI86" s="27"/>
      <c r="NVJ86" s="27"/>
      <c r="NVK86" s="27"/>
      <c r="NVL86" s="27"/>
      <c r="NVM86" s="27"/>
      <c r="NVN86" s="27"/>
      <c r="NVO86" s="27"/>
      <c r="NVP86" s="27"/>
      <c r="NVQ86" s="27"/>
      <c r="NVR86" s="27"/>
      <c r="NVS86" s="27"/>
      <c r="NVT86" s="27"/>
      <c r="NVU86" s="27"/>
      <c r="NVV86" s="27"/>
      <c r="NVW86" s="27"/>
      <c r="NVX86" s="27"/>
      <c r="NVY86" s="27"/>
      <c r="NVZ86" s="27"/>
      <c r="NWA86" s="27"/>
      <c r="NWB86" s="27"/>
      <c r="NWC86" s="27"/>
      <c r="NWD86" s="27"/>
      <c r="NWE86" s="27"/>
      <c r="NWF86" s="27"/>
      <c r="NWG86" s="27"/>
      <c r="NWH86" s="27"/>
      <c r="NWI86" s="27"/>
      <c r="NWJ86" s="27"/>
      <c r="NWK86" s="27"/>
      <c r="NWL86" s="27"/>
      <c r="NWM86" s="27"/>
      <c r="NWN86" s="27"/>
      <c r="NWO86" s="27"/>
      <c r="NWP86" s="27"/>
      <c r="NWQ86" s="27"/>
      <c r="NWR86" s="27"/>
      <c r="NWS86" s="27"/>
      <c r="NWT86" s="27"/>
      <c r="NWU86" s="27"/>
      <c r="NWV86" s="27"/>
      <c r="NWW86" s="27"/>
      <c r="NWX86" s="27"/>
      <c r="NWY86" s="27"/>
      <c r="NWZ86" s="27"/>
      <c r="NXA86" s="27"/>
      <c r="NXB86" s="27"/>
      <c r="NXC86" s="27"/>
      <c r="NXD86" s="27"/>
      <c r="NXE86" s="27"/>
      <c r="NXF86" s="27"/>
      <c r="NXG86" s="27"/>
      <c r="NXH86" s="27"/>
      <c r="NXI86" s="27"/>
      <c r="NXJ86" s="27"/>
      <c r="NXK86" s="27"/>
      <c r="NXL86" s="27"/>
      <c r="NXM86" s="27"/>
      <c r="NXN86" s="27"/>
      <c r="NXO86" s="27"/>
      <c r="NXP86" s="27"/>
      <c r="NXQ86" s="27"/>
      <c r="NXR86" s="27"/>
      <c r="NXS86" s="27"/>
      <c r="NXT86" s="27"/>
      <c r="NXU86" s="27"/>
      <c r="NXV86" s="27"/>
      <c r="NXW86" s="27"/>
      <c r="NXX86" s="27"/>
      <c r="NXY86" s="27"/>
      <c r="NXZ86" s="27"/>
      <c r="NYA86" s="27"/>
      <c r="NYB86" s="27"/>
      <c r="NYC86" s="27"/>
      <c r="NYD86" s="27"/>
      <c r="NYE86" s="27"/>
      <c r="NYF86" s="27"/>
      <c r="NYG86" s="27"/>
      <c r="NYH86" s="27"/>
      <c r="NYI86" s="27"/>
      <c r="NYJ86" s="27"/>
      <c r="NYK86" s="27"/>
      <c r="NYL86" s="27"/>
      <c r="NYM86" s="27"/>
      <c r="NYN86" s="27"/>
      <c r="NYO86" s="27"/>
      <c r="NYP86" s="27"/>
      <c r="NYQ86" s="27"/>
      <c r="NYR86" s="27"/>
      <c r="NYS86" s="27"/>
      <c r="NYT86" s="27"/>
      <c r="NYU86" s="27"/>
      <c r="NYV86" s="27"/>
      <c r="NYW86" s="27"/>
      <c r="NYX86" s="27"/>
      <c r="NYY86" s="27"/>
      <c r="NYZ86" s="27"/>
      <c r="NZA86" s="27"/>
      <c r="NZB86" s="27"/>
      <c r="NZC86" s="27"/>
      <c r="NZD86" s="27"/>
      <c r="NZE86" s="27"/>
      <c r="NZF86" s="27"/>
      <c r="NZG86" s="27"/>
      <c r="NZH86" s="27"/>
      <c r="NZI86" s="27"/>
      <c r="NZJ86" s="27"/>
      <c r="NZK86" s="27"/>
      <c r="NZL86" s="27"/>
      <c r="NZM86" s="27"/>
      <c r="NZN86" s="27"/>
      <c r="NZO86" s="27"/>
      <c r="NZP86" s="27"/>
      <c r="NZQ86" s="27"/>
      <c r="NZR86" s="27"/>
      <c r="NZS86" s="27"/>
      <c r="NZT86" s="27"/>
      <c r="NZU86" s="27"/>
      <c r="NZV86" s="27"/>
      <c r="NZW86" s="27"/>
      <c r="NZX86" s="27"/>
      <c r="NZY86" s="27"/>
      <c r="NZZ86" s="27"/>
      <c r="OAA86" s="27"/>
      <c r="OAB86" s="27"/>
      <c r="OAC86" s="27"/>
      <c r="OAD86" s="27"/>
      <c r="OAE86" s="27"/>
      <c r="OAF86" s="27"/>
      <c r="OAG86" s="27"/>
      <c r="OAH86" s="27"/>
      <c r="OAI86" s="27"/>
      <c r="OAJ86" s="27"/>
      <c r="OAK86" s="27"/>
      <c r="OAL86" s="27"/>
      <c r="OAM86" s="27"/>
      <c r="OAN86" s="27"/>
      <c r="OAO86" s="27"/>
      <c r="OAP86" s="27"/>
      <c r="OAQ86" s="27"/>
      <c r="OAR86" s="27"/>
      <c r="OAS86" s="27"/>
      <c r="OAT86" s="27"/>
      <c r="OAU86" s="27"/>
      <c r="OAV86" s="27"/>
      <c r="OAW86" s="27"/>
      <c r="OAX86" s="27"/>
      <c r="OAY86" s="27"/>
      <c r="OAZ86" s="27"/>
      <c r="OBA86" s="27"/>
      <c r="OBB86" s="27"/>
      <c r="OBC86" s="27"/>
      <c r="OBD86" s="27"/>
      <c r="OBE86" s="27"/>
      <c r="OBF86" s="27"/>
      <c r="OBG86" s="27"/>
      <c r="OBH86" s="27"/>
      <c r="OBI86" s="27"/>
      <c r="OBJ86" s="27"/>
      <c r="OBK86" s="27"/>
      <c r="OBL86" s="27"/>
      <c r="OBM86" s="27"/>
      <c r="OBN86" s="27"/>
      <c r="OBO86" s="27"/>
      <c r="OBP86" s="27"/>
      <c r="OBQ86" s="27"/>
      <c r="OBR86" s="27"/>
      <c r="OBS86" s="27"/>
      <c r="OBT86" s="27"/>
      <c r="OBU86" s="27"/>
      <c r="OBV86" s="27"/>
      <c r="OBW86" s="27"/>
      <c r="OBX86" s="27"/>
      <c r="OBY86" s="27"/>
      <c r="OBZ86" s="27"/>
      <c r="OCA86" s="27"/>
      <c r="OCB86" s="27"/>
      <c r="OCC86" s="27"/>
      <c r="OCD86" s="27"/>
      <c r="OCE86" s="27"/>
      <c r="OCF86" s="27"/>
      <c r="OCG86" s="27"/>
      <c r="OCH86" s="27"/>
      <c r="OCI86" s="27"/>
      <c r="OCJ86" s="27"/>
      <c r="OCK86" s="27"/>
      <c r="OCL86" s="27"/>
      <c r="OCM86" s="27"/>
      <c r="OCN86" s="27"/>
      <c r="OCO86" s="27"/>
      <c r="OCP86" s="27"/>
      <c r="OCQ86" s="27"/>
      <c r="OCR86" s="27"/>
      <c r="OCS86" s="27"/>
      <c r="OCT86" s="27"/>
      <c r="OCU86" s="27"/>
      <c r="OCV86" s="27"/>
      <c r="OCW86" s="27"/>
      <c r="OCX86" s="27"/>
      <c r="OCY86" s="27"/>
      <c r="OCZ86" s="27"/>
      <c r="ODA86" s="27"/>
      <c r="ODB86" s="27"/>
      <c r="ODC86" s="27"/>
      <c r="ODD86" s="27"/>
      <c r="ODE86" s="27"/>
      <c r="ODF86" s="27"/>
      <c r="ODG86" s="27"/>
      <c r="ODH86" s="27"/>
      <c r="ODI86" s="27"/>
      <c r="ODJ86" s="27"/>
      <c r="ODK86" s="27"/>
      <c r="ODL86" s="27"/>
      <c r="ODM86" s="27"/>
      <c r="ODN86" s="27"/>
      <c r="ODO86" s="27"/>
      <c r="ODP86" s="27"/>
      <c r="ODQ86" s="27"/>
      <c r="ODR86" s="27"/>
      <c r="ODS86" s="27"/>
      <c r="ODT86" s="27"/>
      <c r="ODU86" s="27"/>
      <c r="ODV86" s="27"/>
      <c r="ODW86" s="27"/>
      <c r="ODX86" s="27"/>
      <c r="ODY86" s="27"/>
      <c r="ODZ86" s="27"/>
      <c r="OEA86" s="27"/>
      <c r="OEB86" s="27"/>
      <c r="OEC86" s="27"/>
      <c r="OED86" s="27"/>
      <c r="OEE86" s="27"/>
      <c r="OEF86" s="27"/>
      <c r="OEG86" s="27"/>
      <c r="OEH86" s="27"/>
      <c r="OEI86" s="27"/>
      <c r="OEJ86" s="27"/>
      <c r="OEK86" s="27"/>
      <c r="OEL86" s="27"/>
      <c r="OEM86" s="27"/>
      <c r="OEN86" s="27"/>
      <c r="OEO86" s="27"/>
      <c r="OEP86" s="27"/>
      <c r="OEQ86" s="27"/>
      <c r="OER86" s="27"/>
      <c r="OES86" s="27"/>
      <c r="OET86" s="27"/>
      <c r="OEU86" s="27"/>
      <c r="OEV86" s="27"/>
      <c r="OEW86" s="27"/>
      <c r="OEX86" s="27"/>
      <c r="OEY86" s="27"/>
      <c r="OEZ86" s="27"/>
      <c r="OFA86" s="27"/>
      <c r="OFB86" s="27"/>
      <c r="OFC86" s="27"/>
      <c r="OFD86" s="27"/>
      <c r="OFE86" s="27"/>
      <c r="OFF86" s="27"/>
      <c r="OFG86" s="27"/>
      <c r="OFH86" s="27"/>
      <c r="OFI86" s="27"/>
      <c r="OFJ86" s="27"/>
      <c r="OFK86" s="27"/>
      <c r="OFL86" s="27"/>
      <c r="OFM86" s="27"/>
      <c r="OFN86" s="27"/>
      <c r="OFO86" s="27"/>
      <c r="OFP86" s="27"/>
      <c r="OFQ86" s="27"/>
      <c r="OFR86" s="27"/>
      <c r="OFS86" s="27"/>
      <c r="OFT86" s="27"/>
      <c r="OFU86" s="27"/>
      <c r="OFV86" s="27"/>
      <c r="OFW86" s="27"/>
      <c r="OFX86" s="27"/>
      <c r="OFY86" s="27"/>
      <c r="OFZ86" s="27"/>
      <c r="OGA86" s="27"/>
      <c r="OGB86" s="27"/>
      <c r="OGC86" s="27"/>
      <c r="OGD86" s="27"/>
      <c r="OGE86" s="27"/>
      <c r="OGF86" s="27"/>
      <c r="OGG86" s="27"/>
      <c r="OGH86" s="27"/>
      <c r="OGI86" s="27"/>
      <c r="OGJ86" s="27"/>
      <c r="OGK86" s="27"/>
      <c r="OGL86" s="27"/>
      <c r="OGM86" s="27"/>
      <c r="OGN86" s="27"/>
      <c r="OGO86" s="27"/>
      <c r="OGP86" s="27"/>
      <c r="OGQ86" s="27"/>
      <c r="OGR86" s="27"/>
      <c r="OGS86" s="27"/>
      <c r="OGT86" s="27"/>
      <c r="OGU86" s="27"/>
      <c r="OGV86" s="27"/>
      <c r="OGW86" s="27"/>
      <c r="OGX86" s="27"/>
      <c r="OGY86" s="27"/>
      <c r="OGZ86" s="27"/>
      <c r="OHA86" s="27"/>
      <c r="OHB86" s="27"/>
      <c r="OHC86" s="27"/>
      <c r="OHD86" s="27"/>
      <c r="OHE86" s="27"/>
      <c r="OHF86" s="27"/>
      <c r="OHG86" s="27"/>
      <c r="OHH86" s="27"/>
      <c r="OHI86" s="27"/>
      <c r="OHJ86" s="27"/>
      <c r="OHK86" s="27"/>
      <c r="OHL86" s="27"/>
      <c r="OHM86" s="27"/>
      <c r="OHN86" s="27"/>
      <c r="OHO86" s="27"/>
      <c r="OHP86" s="27"/>
      <c r="OHQ86" s="27"/>
      <c r="OHR86" s="27"/>
      <c r="OHS86" s="27"/>
      <c r="OHT86" s="27"/>
      <c r="OHU86" s="27"/>
      <c r="OHV86" s="27"/>
      <c r="OHW86" s="27"/>
      <c r="OHX86" s="27"/>
      <c r="OHY86" s="27"/>
      <c r="OHZ86" s="27"/>
      <c r="OIA86" s="27"/>
      <c r="OIB86" s="27"/>
      <c r="OIC86" s="27"/>
      <c r="OID86" s="27"/>
      <c r="OIE86" s="27"/>
      <c r="OIF86" s="27"/>
      <c r="OIG86" s="27"/>
      <c r="OIH86" s="27"/>
      <c r="OII86" s="27"/>
      <c r="OIJ86" s="27"/>
      <c r="OIK86" s="27"/>
      <c r="OIL86" s="27"/>
      <c r="OIM86" s="27"/>
      <c r="OIN86" s="27"/>
      <c r="OIO86" s="27"/>
      <c r="OIP86" s="27"/>
      <c r="OIQ86" s="27"/>
      <c r="OIR86" s="27"/>
      <c r="OIS86" s="27"/>
      <c r="OIT86" s="27"/>
      <c r="OIU86" s="27"/>
      <c r="OIV86" s="27"/>
      <c r="OIW86" s="27"/>
      <c r="OIX86" s="27"/>
      <c r="OIY86" s="27"/>
      <c r="OIZ86" s="27"/>
      <c r="OJA86" s="27"/>
      <c r="OJB86" s="27"/>
      <c r="OJC86" s="27"/>
      <c r="OJD86" s="27"/>
      <c r="OJE86" s="27"/>
      <c r="OJF86" s="27"/>
      <c r="OJG86" s="27"/>
      <c r="OJH86" s="27"/>
      <c r="OJI86" s="27"/>
      <c r="OJJ86" s="27"/>
      <c r="OJK86" s="27"/>
      <c r="OJL86" s="27"/>
      <c r="OJM86" s="27"/>
      <c r="OJN86" s="27"/>
      <c r="OJO86" s="27"/>
      <c r="OJP86" s="27"/>
      <c r="OJQ86" s="27"/>
      <c r="OJR86" s="27"/>
      <c r="OJS86" s="27"/>
      <c r="OJT86" s="27"/>
      <c r="OJU86" s="27"/>
      <c r="OJV86" s="27"/>
      <c r="OJW86" s="27"/>
      <c r="OJX86" s="27"/>
      <c r="OJY86" s="27"/>
      <c r="OJZ86" s="27"/>
      <c r="OKA86" s="27"/>
      <c r="OKB86" s="27"/>
      <c r="OKC86" s="27"/>
      <c r="OKD86" s="27"/>
      <c r="OKE86" s="27"/>
      <c r="OKF86" s="27"/>
      <c r="OKG86" s="27"/>
      <c r="OKH86" s="27"/>
      <c r="OKI86" s="27"/>
      <c r="OKJ86" s="27"/>
      <c r="OKK86" s="27"/>
      <c r="OKL86" s="27"/>
      <c r="OKM86" s="27"/>
      <c r="OKN86" s="27"/>
      <c r="OKO86" s="27"/>
      <c r="OKP86" s="27"/>
      <c r="OKQ86" s="27"/>
      <c r="OKR86" s="27"/>
      <c r="OKS86" s="27"/>
      <c r="OKT86" s="27"/>
      <c r="OKU86" s="27"/>
      <c r="OKV86" s="27"/>
      <c r="OKW86" s="27"/>
      <c r="OKX86" s="27"/>
      <c r="OKY86" s="27"/>
      <c r="OKZ86" s="27"/>
      <c r="OLA86" s="27"/>
      <c r="OLB86" s="27"/>
      <c r="OLC86" s="27"/>
      <c r="OLD86" s="27"/>
      <c r="OLE86" s="27"/>
      <c r="OLF86" s="27"/>
      <c r="OLG86" s="27"/>
      <c r="OLH86" s="27"/>
      <c r="OLI86" s="27"/>
      <c r="OLJ86" s="27"/>
      <c r="OLK86" s="27"/>
      <c r="OLL86" s="27"/>
      <c r="OLM86" s="27"/>
      <c r="OLN86" s="27"/>
      <c r="OLO86" s="27"/>
      <c r="OLP86" s="27"/>
      <c r="OLQ86" s="27"/>
      <c r="OLR86" s="27"/>
      <c r="OLS86" s="27"/>
      <c r="OLT86" s="27"/>
      <c r="OLU86" s="27"/>
      <c r="OLV86" s="27"/>
      <c r="OLW86" s="27"/>
      <c r="OLX86" s="27"/>
      <c r="OLY86" s="27"/>
      <c r="OLZ86" s="27"/>
      <c r="OMA86" s="27"/>
      <c r="OMB86" s="27"/>
      <c r="OMC86" s="27"/>
      <c r="OMD86" s="27"/>
      <c r="OME86" s="27"/>
      <c r="OMF86" s="27"/>
      <c r="OMG86" s="27"/>
      <c r="OMH86" s="27"/>
      <c r="OMI86" s="27"/>
      <c r="OMJ86" s="27"/>
      <c r="OMK86" s="27"/>
      <c r="OML86" s="27"/>
      <c r="OMM86" s="27"/>
      <c r="OMN86" s="27"/>
      <c r="OMO86" s="27"/>
      <c r="OMP86" s="27"/>
      <c r="OMQ86" s="27"/>
      <c r="OMR86" s="27"/>
      <c r="OMS86" s="27"/>
      <c r="OMT86" s="27"/>
      <c r="OMU86" s="27"/>
      <c r="OMV86" s="27"/>
      <c r="OMW86" s="27"/>
      <c r="OMX86" s="27"/>
      <c r="OMY86" s="27"/>
      <c r="OMZ86" s="27"/>
      <c r="ONA86" s="27"/>
      <c r="ONB86" s="27"/>
      <c r="ONC86" s="27"/>
      <c r="OND86" s="27"/>
      <c r="ONE86" s="27"/>
      <c r="ONF86" s="27"/>
      <c r="ONG86" s="27"/>
      <c r="ONH86" s="27"/>
      <c r="ONI86" s="27"/>
      <c r="ONJ86" s="27"/>
      <c r="ONK86" s="27"/>
      <c r="ONL86" s="27"/>
      <c r="ONM86" s="27"/>
      <c r="ONN86" s="27"/>
      <c r="ONO86" s="27"/>
      <c r="ONP86" s="27"/>
      <c r="ONQ86" s="27"/>
      <c r="ONR86" s="27"/>
      <c r="ONS86" s="27"/>
      <c r="ONT86" s="27"/>
      <c r="ONU86" s="27"/>
      <c r="ONV86" s="27"/>
      <c r="ONW86" s="27"/>
      <c r="ONX86" s="27"/>
      <c r="ONY86" s="27"/>
      <c r="ONZ86" s="27"/>
      <c r="OOA86" s="27"/>
      <c r="OOB86" s="27"/>
      <c r="OOC86" s="27"/>
      <c r="OOD86" s="27"/>
      <c r="OOE86" s="27"/>
      <c r="OOF86" s="27"/>
      <c r="OOG86" s="27"/>
      <c r="OOH86" s="27"/>
      <c r="OOI86" s="27"/>
      <c r="OOJ86" s="27"/>
      <c r="OOK86" s="27"/>
      <c r="OOL86" s="27"/>
      <c r="OOM86" s="27"/>
      <c r="OON86" s="27"/>
      <c r="OOO86" s="27"/>
      <c r="OOP86" s="27"/>
      <c r="OOQ86" s="27"/>
      <c r="OOR86" s="27"/>
      <c r="OOS86" s="27"/>
      <c r="OOT86" s="27"/>
      <c r="OOU86" s="27"/>
      <c r="OOV86" s="27"/>
      <c r="OOW86" s="27"/>
      <c r="OOX86" s="27"/>
      <c r="OOY86" s="27"/>
      <c r="OOZ86" s="27"/>
      <c r="OPA86" s="27"/>
      <c r="OPB86" s="27"/>
      <c r="OPC86" s="27"/>
      <c r="OPD86" s="27"/>
      <c r="OPE86" s="27"/>
      <c r="OPF86" s="27"/>
      <c r="OPG86" s="27"/>
      <c r="OPH86" s="27"/>
      <c r="OPI86" s="27"/>
      <c r="OPJ86" s="27"/>
      <c r="OPK86" s="27"/>
      <c r="OPL86" s="27"/>
      <c r="OPM86" s="27"/>
      <c r="OPN86" s="27"/>
      <c r="OPO86" s="27"/>
      <c r="OPP86" s="27"/>
      <c r="OPQ86" s="27"/>
      <c r="OPR86" s="27"/>
      <c r="OPS86" s="27"/>
      <c r="OPT86" s="27"/>
      <c r="OPU86" s="27"/>
      <c r="OPV86" s="27"/>
      <c r="OPW86" s="27"/>
      <c r="OPX86" s="27"/>
      <c r="OPY86" s="27"/>
      <c r="OPZ86" s="27"/>
      <c r="OQA86" s="27"/>
      <c r="OQB86" s="27"/>
      <c r="OQC86" s="27"/>
      <c r="OQD86" s="27"/>
      <c r="OQE86" s="27"/>
      <c r="OQF86" s="27"/>
      <c r="OQG86" s="27"/>
      <c r="OQH86" s="27"/>
      <c r="OQI86" s="27"/>
      <c r="OQJ86" s="27"/>
      <c r="OQK86" s="27"/>
      <c r="OQL86" s="27"/>
      <c r="OQM86" s="27"/>
      <c r="OQN86" s="27"/>
      <c r="OQO86" s="27"/>
      <c r="OQP86" s="27"/>
      <c r="OQQ86" s="27"/>
      <c r="OQR86" s="27"/>
      <c r="OQS86" s="27"/>
      <c r="OQT86" s="27"/>
      <c r="OQU86" s="27"/>
      <c r="OQV86" s="27"/>
      <c r="OQW86" s="27"/>
      <c r="OQX86" s="27"/>
      <c r="OQY86" s="27"/>
      <c r="OQZ86" s="27"/>
      <c r="ORA86" s="27"/>
      <c r="ORB86" s="27"/>
      <c r="ORC86" s="27"/>
      <c r="ORD86" s="27"/>
      <c r="ORE86" s="27"/>
      <c r="ORF86" s="27"/>
      <c r="ORG86" s="27"/>
      <c r="ORH86" s="27"/>
      <c r="ORI86" s="27"/>
      <c r="ORJ86" s="27"/>
      <c r="ORK86" s="27"/>
      <c r="ORL86" s="27"/>
      <c r="ORM86" s="27"/>
      <c r="ORN86" s="27"/>
      <c r="ORO86" s="27"/>
      <c r="ORP86" s="27"/>
      <c r="ORQ86" s="27"/>
      <c r="ORR86" s="27"/>
      <c r="ORS86" s="27"/>
      <c r="ORT86" s="27"/>
      <c r="ORU86" s="27"/>
      <c r="ORV86" s="27"/>
      <c r="ORW86" s="27"/>
      <c r="ORX86" s="27"/>
      <c r="ORY86" s="27"/>
      <c r="ORZ86" s="27"/>
      <c r="OSA86" s="27"/>
      <c r="OSB86" s="27"/>
      <c r="OSC86" s="27"/>
      <c r="OSD86" s="27"/>
      <c r="OSE86" s="27"/>
      <c r="OSF86" s="27"/>
      <c r="OSG86" s="27"/>
      <c r="OSH86" s="27"/>
      <c r="OSI86" s="27"/>
      <c r="OSJ86" s="27"/>
      <c r="OSK86" s="27"/>
      <c r="OSL86" s="27"/>
      <c r="OSM86" s="27"/>
      <c r="OSN86" s="27"/>
      <c r="OSO86" s="27"/>
      <c r="OSP86" s="27"/>
      <c r="OSQ86" s="27"/>
      <c r="OSR86" s="27"/>
      <c r="OSS86" s="27"/>
      <c r="OST86" s="27"/>
      <c r="OSU86" s="27"/>
      <c r="OSV86" s="27"/>
      <c r="OSW86" s="27"/>
      <c r="OSX86" s="27"/>
      <c r="OSY86" s="27"/>
      <c r="OSZ86" s="27"/>
      <c r="OTA86" s="27"/>
      <c r="OTB86" s="27"/>
      <c r="OTC86" s="27"/>
      <c r="OTD86" s="27"/>
      <c r="OTE86" s="27"/>
      <c r="OTF86" s="27"/>
      <c r="OTG86" s="27"/>
      <c r="OTH86" s="27"/>
      <c r="OTI86" s="27"/>
      <c r="OTJ86" s="27"/>
      <c r="OTK86" s="27"/>
      <c r="OTL86" s="27"/>
      <c r="OTM86" s="27"/>
      <c r="OTN86" s="27"/>
      <c r="OTO86" s="27"/>
      <c r="OTP86" s="27"/>
      <c r="OTQ86" s="27"/>
      <c r="OTR86" s="27"/>
      <c r="OTS86" s="27"/>
      <c r="OTT86" s="27"/>
      <c r="OTU86" s="27"/>
      <c r="OTV86" s="27"/>
      <c r="OTW86" s="27"/>
      <c r="OTX86" s="27"/>
      <c r="OTY86" s="27"/>
      <c r="OTZ86" s="27"/>
      <c r="OUA86" s="27"/>
      <c r="OUB86" s="27"/>
      <c r="OUC86" s="27"/>
      <c r="OUD86" s="27"/>
      <c r="OUE86" s="27"/>
      <c r="OUF86" s="27"/>
      <c r="OUG86" s="27"/>
      <c r="OUH86" s="27"/>
      <c r="OUI86" s="27"/>
      <c r="OUJ86" s="27"/>
      <c r="OUK86" s="27"/>
      <c r="OUL86" s="27"/>
      <c r="OUM86" s="27"/>
      <c r="OUN86" s="27"/>
      <c r="OUO86" s="27"/>
      <c r="OUP86" s="27"/>
      <c r="OUQ86" s="27"/>
      <c r="OUR86" s="27"/>
      <c r="OUS86" s="27"/>
      <c r="OUT86" s="27"/>
      <c r="OUU86" s="27"/>
      <c r="OUV86" s="27"/>
      <c r="OUW86" s="27"/>
      <c r="OUX86" s="27"/>
      <c r="OUY86" s="27"/>
      <c r="OUZ86" s="27"/>
      <c r="OVA86" s="27"/>
      <c r="OVB86" s="27"/>
      <c r="OVC86" s="27"/>
      <c r="OVD86" s="27"/>
      <c r="OVE86" s="27"/>
      <c r="OVF86" s="27"/>
      <c r="OVG86" s="27"/>
      <c r="OVH86" s="27"/>
      <c r="OVI86" s="27"/>
      <c r="OVJ86" s="27"/>
      <c r="OVK86" s="27"/>
      <c r="OVL86" s="27"/>
      <c r="OVM86" s="27"/>
      <c r="OVN86" s="27"/>
      <c r="OVO86" s="27"/>
      <c r="OVP86" s="27"/>
      <c r="OVQ86" s="27"/>
      <c r="OVR86" s="27"/>
      <c r="OVS86" s="27"/>
      <c r="OVT86" s="27"/>
      <c r="OVU86" s="27"/>
      <c r="OVV86" s="27"/>
      <c r="OVW86" s="27"/>
      <c r="OVX86" s="27"/>
      <c r="OVY86" s="27"/>
      <c r="OVZ86" s="27"/>
      <c r="OWA86" s="27"/>
      <c r="OWB86" s="27"/>
      <c r="OWC86" s="27"/>
      <c r="OWD86" s="27"/>
      <c r="OWE86" s="27"/>
      <c r="OWF86" s="27"/>
      <c r="OWG86" s="27"/>
      <c r="OWH86" s="27"/>
      <c r="OWI86" s="27"/>
      <c r="OWJ86" s="27"/>
      <c r="OWK86" s="27"/>
      <c r="OWL86" s="27"/>
      <c r="OWM86" s="27"/>
      <c r="OWN86" s="27"/>
      <c r="OWO86" s="27"/>
      <c r="OWP86" s="27"/>
      <c r="OWQ86" s="27"/>
      <c r="OWR86" s="27"/>
      <c r="OWS86" s="27"/>
      <c r="OWT86" s="27"/>
      <c r="OWU86" s="27"/>
      <c r="OWV86" s="27"/>
      <c r="OWW86" s="27"/>
      <c r="OWX86" s="27"/>
      <c r="OWY86" s="27"/>
      <c r="OWZ86" s="27"/>
      <c r="OXA86" s="27"/>
      <c r="OXB86" s="27"/>
      <c r="OXC86" s="27"/>
      <c r="OXD86" s="27"/>
      <c r="OXE86" s="27"/>
      <c r="OXF86" s="27"/>
      <c r="OXG86" s="27"/>
      <c r="OXH86" s="27"/>
      <c r="OXI86" s="27"/>
      <c r="OXJ86" s="27"/>
      <c r="OXK86" s="27"/>
      <c r="OXL86" s="27"/>
      <c r="OXM86" s="27"/>
      <c r="OXN86" s="27"/>
      <c r="OXO86" s="27"/>
      <c r="OXP86" s="27"/>
      <c r="OXQ86" s="27"/>
      <c r="OXR86" s="27"/>
      <c r="OXS86" s="27"/>
      <c r="OXT86" s="27"/>
      <c r="OXU86" s="27"/>
      <c r="OXV86" s="27"/>
      <c r="OXW86" s="27"/>
      <c r="OXX86" s="27"/>
      <c r="OXY86" s="27"/>
      <c r="OXZ86" s="27"/>
      <c r="OYA86" s="27"/>
      <c r="OYB86" s="27"/>
      <c r="OYC86" s="27"/>
      <c r="OYD86" s="27"/>
      <c r="OYE86" s="27"/>
      <c r="OYF86" s="27"/>
      <c r="OYG86" s="27"/>
      <c r="OYH86" s="27"/>
      <c r="OYI86" s="27"/>
      <c r="OYJ86" s="27"/>
      <c r="OYK86" s="27"/>
      <c r="OYL86" s="27"/>
      <c r="OYM86" s="27"/>
      <c r="OYN86" s="27"/>
      <c r="OYO86" s="27"/>
      <c r="OYP86" s="27"/>
      <c r="OYQ86" s="27"/>
      <c r="OYR86" s="27"/>
      <c r="OYS86" s="27"/>
      <c r="OYT86" s="27"/>
      <c r="OYU86" s="27"/>
      <c r="OYV86" s="27"/>
      <c r="OYW86" s="27"/>
      <c r="OYX86" s="27"/>
      <c r="OYY86" s="27"/>
      <c r="OYZ86" s="27"/>
      <c r="OZA86" s="27"/>
      <c r="OZB86" s="27"/>
      <c r="OZC86" s="27"/>
      <c r="OZD86" s="27"/>
      <c r="OZE86" s="27"/>
      <c r="OZF86" s="27"/>
      <c r="OZG86" s="27"/>
      <c r="OZH86" s="27"/>
      <c r="OZI86" s="27"/>
      <c r="OZJ86" s="27"/>
      <c r="OZK86" s="27"/>
      <c r="OZL86" s="27"/>
      <c r="OZM86" s="27"/>
      <c r="OZN86" s="27"/>
      <c r="OZO86" s="27"/>
      <c r="OZP86" s="27"/>
      <c r="OZQ86" s="27"/>
      <c r="OZR86" s="27"/>
      <c r="OZS86" s="27"/>
      <c r="OZT86" s="27"/>
      <c r="OZU86" s="27"/>
      <c r="OZV86" s="27"/>
      <c r="OZW86" s="27"/>
      <c r="OZX86" s="27"/>
      <c r="OZY86" s="27"/>
      <c r="OZZ86" s="27"/>
      <c r="PAA86" s="27"/>
      <c r="PAB86" s="27"/>
      <c r="PAC86" s="27"/>
      <c r="PAD86" s="27"/>
      <c r="PAE86" s="27"/>
      <c r="PAF86" s="27"/>
      <c r="PAG86" s="27"/>
      <c r="PAH86" s="27"/>
      <c r="PAI86" s="27"/>
      <c r="PAJ86" s="27"/>
      <c r="PAK86" s="27"/>
      <c r="PAL86" s="27"/>
      <c r="PAM86" s="27"/>
      <c r="PAN86" s="27"/>
      <c r="PAO86" s="27"/>
      <c r="PAP86" s="27"/>
      <c r="PAQ86" s="27"/>
      <c r="PAR86" s="27"/>
      <c r="PAS86" s="27"/>
      <c r="PAT86" s="27"/>
      <c r="PAU86" s="27"/>
      <c r="PAV86" s="27"/>
      <c r="PAW86" s="27"/>
      <c r="PAX86" s="27"/>
      <c r="PAY86" s="27"/>
      <c r="PAZ86" s="27"/>
      <c r="PBA86" s="27"/>
      <c r="PBB86" s="27"/>
      <c r="PBC86" s="27"/>
      <c r="PBD86" s="27"/>
      <c r="PBE86" s="27"/>
      <c r="PBF86" s="27"/>
      <c r="PBG86" s="27"/>
      <c r="PBH86" s="27"/>
      <c r="PBI86" s="27"/>
      <c r="PBJ86" s="27"/>
      <c r="PBK86" s="27"/>
      <c r="PBL86" s="27"/>
      <c r="PBM86" s="27"/>
      <c r="PBN86" s="27"/>
      <c r="PBO86" s="27"/>
      <c r="PBP86" s="27"/>
      <c r="PBQ86" s="27"/>
      <c r="PBR86" s="27"/>
      <c r="PBS86" s="27"/>
      <c r="PBT86" s="27"/>
      <c r="PBU86" s="27"/>
      <c r="PBV86" s="27"/>
      <c r="PBW86" s="27"/>
      <c r="PBX86" s="27"/>
      <c r="PBY86" s="27"/>
      <c r="PBZ86" s="27"/>
      <c r="PCA86" s="27"/>
      <c r="PCB86" s="27"/>
      <c r="PCC86" s="27"/>
      <c r="PCD86" s="27"/>
      <c r="PCE86" s="27"/>
      <c r="PCF86" s="27"/>
      <c r="PCG86" s="27"/>
      <c r="PCH86" s="27"/>
      <c r="PCI86" s="27"/>
      <c r="PCJ86" s="27"/>
      <c r="PCK86" s="27"/>
      <c r="PCL86" s="27"/>
      <c r="PCM86" s="27"/>
      <c r="PCN86" s="27"/>
      <c r="PCO86" s="27"/>
      <c r="PCP86" s="27"/>
      <c r="PCQ86" s="27"/>
      <c r="PCR86" s="27"/>
      <c r="PCS86" s="27"/>
      <c r="PCT86" s="27"/>
      <c r="PCU86" s="27"/>
      <c r="PCV86" s="27"/>
      <c r="PCW86" s="27"/>
      <c r="PCX86" s="27"/>
      <c r="PCY86" s="27"/>
      <c r="PCZ86" s="27"/>
      <c r="PDA86" s="27"/>
      <c r="PDB86" s="27"/>
      <c r="PDC86" s="27"/>
      <c r="PDD86" s="27"/>
      <c r="PDE86" s="27"/>
      <c r="PDF86" s="27"/>
      <c r="PDG86" s="27"/>
      <c r="PDH86" s="27"/>
      <c r="PDI86" s="27"/>
      <c r="PDJ86" s="27"/>
      <c r="PDK86" s="27"/>
      <c r="PDL86" s="27"/>
      <c r="PDM86" s="27"/>
      <c r="PDN86" s="27"/>
      <c r="PDO86" s="27"/>
      <c r="PDP86" s="27"/>
      <c r="PDQ86" s="27"/>
      <c r="PDR86" s="27"/>
      <c r="PDS86" s="27"/>
      <c r="PDT86" s="27"/>
      <c r="PDU86" s="27"/>
      <c r="PDV86" s="27"/>
      <c r="PDW86" s="27"/>
      <c r="PDX86" s="27"/>
      <c r="PDY86" s="27"/>
      <c r="PDZ86" s="27"/>
      <c r="PEA86" s="27"/>
      <c r="PEB86" s="27"/>
      <c r="PEC86" s="27"/>
      <c r="PED86" s="27"/>
      <c r="PEE86" s="27"/>
      <c r="PEF86" s="27"/>
      <c r="PEG86" s="27"/>
      <c r="PEH86" s="27"/>
      <c r="PEI86" s="27"/>
      <c r="PEJ86" s="27"/>
      <c r="PEK86" s="27"/>
      <c r="PEL86" s="27"/>
      <c r="PEM86" s="27"/>
      <c r="PEN86" s="27"/>
      <c r="PEO86" s="27"/>
      <c r="PEP86" s="27"/>
      <c r="PEQ86" s="27"/>
      <c r="PER86" s="27"/>
      <c r="PES86" s="27"/>
      <c r="PET86" s="27"/>
      <c r="PEU86" s="27"/>
      <c r="PEV86" s="27"/>
      <c r="PEW86" s="27"/>
      <c r="PEX86" s="27"/>
      <c r="PEY86" s="27"/>
      <c r="PEZ86" s="27"/>
      <c r="PFA86" s="27"/>
      <c r="PFB86" s="27"/>
      <c r="PFC86" s="27"/>
      <c r="PFD86" s="27"/>
      <c r="PFE86" s="27"/>
      <c r="PFF86" s="27"/>
      <c r="PFG86" s="27"/>
      <c r="PFH86" s="27"/>
      <c r="PFI86" s="27"/>
      <c r="PFJ86" s="27"/>
      <c r="PFK86" s="27"/>
      <c r="PFL86" s="27"/>
      <c r="PFM86" s="27"/>
      <c r="PFN86" s="27"/>
      <c r="PFO86" s="27"/>
      <c r="PFP86" s="27"/>
      <c r="PFQ86" s="27"/>
      <c r="PFR86" s="27"/>
      <c r="PFS86" s="27"/>
      <c r="PFT86" s="27"/>
      <c r="PFU86" s="27"/>
      <c r="PFV86" s="27"/>
      <c r="PFW86" s="27"/>
      <c r="PFX86" s="27"/>
      <c r="PFY86" s="27"/>
      <c r="PFZ86" s="27"/>
      <c r="PGA86" s="27"/>
      <c r="PGB86" s="27"/>
      <c r="PGC86" s="27"/>
      <c r="PGD86" s="27"/>
      <c r="PGE86" s="27"/>
      <c r="PGF86" s="27"/>
      <c r="PGG86" s="27"/>
      <c r="PGH86" s="27"/>
      <c r="PGI86" s="27"/>
      <c r="PGJ86" s="27"/>
      <c r="PGK86" s="27"/>
      <c r="PGL86" s="27"/>
      <c r="PGM86" s="27"/>
      <c r="PGN86" s="27"/>
      <c r="PGO86" s="27"/>
      <c r="PGP86" s="27"/>
      <c r="PGQ86" s="27"/>
      <c r="PGR86" s="27"/>
      <c r="PGS86" s="27"/>
      <c r="PGT86" s="27"/>
      <c r="PGU86" s="27"/>
      <c r="PGV86" s="27"/>
      <c r="PGW86" s="27"/>
      <c r="PGX86" s="27"/>
      <c r="PGY86" s="27"/>
      <c r="PGZ86" s="27"/>
      <c r="PHA86" s="27"/>
      <c r="PHB86" s="27"/>
      <c r="PHC86" s="27"/>
      <c r="PHD86" s="27"/>
      <c r="PHE86" s="27"/>
      <c r="PHF86" s="27"/>
      <c r="PHG86" s="27"/>
      <c r="PHH86" s="27"/>
      <c r="PHI86" s="27"/>
      <c r="PHJ86" s="27"/>
      <c r="PHK86" s="27"/>
      <c r="PHL86" s="27"/>
      <c r="PHM86" s="27"/>
      <c r="PHN86" s="27"/>
      <c r="PHO86" s="27"/>
      <c r="PHP86" s="27"/>
      <c r="PHQ86" s="27"/>
      <c r="PHR86" s="27"/>
      <c r="PHS86" s="27"/>
      <c r="PHT86" s="27"/>
      <c r="PHU86" s="27"/>
      <c r="PHV86" s="27"/>
      <c r="PHW86" s="27"/>
      <c r="PHX86" s="27"/>
      <c r="PHY86" s="27"/>
      <c r="PHZ86" s="27"/>
      <c r="PIA86" s="27"/>
      <c r="PIB86" s="27"/>
      <c r="PIC86" s="27"/>
      <c r="PID86" s="27"/>
      <c r="PIE86" s="27"/>
      <c r="PIF86" s="27"/>
      <c r="PIG86" s="27"/>
      <c r="PIH86" s="27"/>
      <c r="PII86" s="27"/>
      <c r="PIJ86" s="27"/>
      <c r="PIK86" s="27"/>
      <c r="PIL86" s="27"/>
      <c r="PIM86" s="27"/>
      <c r="PIN86" s="27"/>
      <c r="PIO86" s="27"/>
      <c r="PIP86" s="27"/>
      <c r="PIQ86" s="27"/>
      <c r="PIR86" s="27"/>
      <c r="PIS86" s="27"/>
      <c r="PIT86" s="27"/>
      <c r="PIU86" s="27"/>
      <c r="PIV86" s="27"/>
      <c r="PIW86" s="27"/>
      <c r="PIX86" s="27"/>
      <c r="PIY86" s="27"/>
      <c r="PIZ86" s="27"/>
      <c r="PJA86" s="27"/>
      <c r="PJB86" s="27"/>
      <c r="PJC86" s="27"/>
      <c r="PJD86" s="27"/>
      <c r="PJE86" s="27"/>
      <c r="PJF86" s="27"/>
      <c r="PJG86" s="27"/>
      <c r="PJH86" s="27"/>
      <c r="PJI86" s="27"/>
      <c r="PJJ86" s="27"/>
      <c r="PJK86" s="27"/>
      <c r="PJL86" s="27"/>
      <c r="PJM86" s="27"/>
      <c r="PJN86" s="27"/>
      <c r="PJO86" s="27"/>
      <c r="PJP86" s="27"/>
      <c r="PJQ86" s="27"/>
      <c r="PJR86" s="27"/>
      <c r="PJS86" s="27"/>
      <c r="PJT86" s="27"/>
      <c r="PJU86" s="27"/>
      <c r="PJV86" s="27"/>
      <c r="PJW86" s="27"/>
      <c r="PJX86" s="27"/>
      <c r="PJY86" s="27"/>
      <c r="PJZ86" s="27"/>
      <c r="PKA86" s="27"/>
      <c r="PKB86" s="27"/>
      <c r="PKC86" s="27"/>
      <c r="PKD86" s="27"/>
      <c r="PKE86" s="27"/>
      <c r="PKF86" s="27"/>
      <c r="PKG86" s="27"/>
      <c r="PKH86" s="27"/>
      <c r="PKI86" s="27"/>
      <c r="PKJ86" s="27"/>
      <c r="PKK86" s="27"/>
      <c r="PKL86" s="27"/>
      <c r="PKM86" s="27"/>
      <c r="PKN86" s="27"/>
      <c r="PKO86" s="27"/>
      <c r="PKP86" s="27"/>
      <c r="PKQ86" s="27"/>
      <c r="PKR86" s="27"/>
      <c r="PKS86" s="27"/>
      <c r="PKT86" s="27"/>
      <c r="PKU86" s="27"/>
      <c r="PKV86" s="27"/>
      <c r="PKW86" s="27"/>
      <c r="PKX86" s="27"/>
      <c r="PKY86" s="27"/>
      <c r="PKZ86" s="27"/>
      <c r="PLA86" s="27"/>
      <c r="PLB86" s="27"/>
      <c r="PLC86" s="27"/>
      <c r="PLD86" s="27"/>
      <c r="PLE86" s="27"/>
      <c r="PLF86" s="27"/>
      <c r="PLG86" s="27"/>
      <c r="PLH86" s="27"/>
      <c r="PLI86" s="27"/>
      <c r="PLJ86" s="27"/>
      <c r="PLK86" s="27"/>
      <c r="PLL86" s="27"/>
      <c r="PLM86" s="27"/>
      <c r="PLN86" s="27"/>
      <c r="PLO86" s="27"/>
      <c r="PLP86" s="27"/>
      <c r="PLQ86" s="27"/>
      <c r="PLR86" s="27"/>
      <c r="PLS86" s="27"/>
      <c r="PLT86" s="27"/>
      <c r="PLU86" s="27"/>
      <c r="PLV86" s="27"/>
      <c r="PLW86" s="27"/>
      <c r="PLX86" s="27"/>
      <c r="PLY86" s="27"/>
      <c r="PLZ86" s="27"/>
      <c r="PMA86" s="27"/>
      <c r="PMB86" s="27"/>
      <c r="PMC86" s="27"/>
      <c r="PMD86" s="27"/>
      <c r="PME86" s="27"/>
      <c r="PMF86" s="27"/>
      <c r="PMG86" s="27"/>
      <c r="PMH86" s="27"/>
      <c r="PMI86" s="27"/>
      <c r="PMJ86" s="27"/>
      <c r="PMK86" s="27"/>
      <c r="PML86" s="27"/>
      <c r="PMM86" s="27"/>
      <c r="PMN86" s="27"/>
      <c r="PMO86" s="27"/>
      <c r="PMP86" s="27"/>
      <c r="PMQ86" s="27"/>
      <c r="PMR86" s="27"/>
      <c r="PMS86" s="27"/>
      <c r="PMT86" s="27"/>
      <c r="PMU86" s="27"/>
      <c r="PMV86" s="27"/>
      <c r="PMW86" s="27"/>
      <c r="PMX86" s="27"/>
      <c r="PMY86" s="27"/>
      <c r="PMZ86" s="27"/>
      <c r="PNA86" s="27"/>
      <c r="PNB86" s="27"/>
      <c r="PNC86" s="27"/>
      <c r="PND86" s="27"/>
      <c r="PNE86" s="27"/>
      <c r="PNF86" s="27"/>
      <c r="PNG86" s="27"/>
      <c r="PNH86" s="27"/>
      <c r="PNI86" s="27"/>
      <c r="PNJ86" s="27"/>
      <c r="PNK86" s="27"/>
      <c r="PNL86" s="27"/>
      <c r="PNM86" s="27"/>
      <c r="PNN86" s="27"/>
      <c r="PNO86" s="27"/>
      <c r="PNP86" s="27"/>
      <c r="PNQ86" s="27"/>
      <c r="PNR86" s="27"/>
      <c r="PNS86" s="27"/>
      <c r="PNT86" s="27"/>
      <c r="PNU86" s="27"/>
      <c r="PNV86" s="27"/>
      <c r="PNW86" s="27"/>
      <c r="PNX86" s="27"/>
      <c r="PNY86" s="27"/>
      <c r="PNZ86" s="27"/>
      <c r="POA86" s="27"/>
      <c r="POB86" s="27"/>
      <c r="POC86" s="27"/>
      <c r="POD86" s="27"/>
      <c r="POE86" s="27"/>
      <c r="POF86" s="27"/>
      <c r="POG86" s="27"/>
      <c r="POH86" s="27"/>
      <c r="POI86" s="27"/>
      <c r="POJ86" s="27"/>
      <c r="POK86" s="27"/>
      <c r="POL86" s="27"/>
      <c r="POM86" s="27"/>
      <c r="PON86" s="27"/>
      <c r="POO86" s="27"/>
      <c r="POP86" s="27"/>
      <c r="POQ86" s="27"/>
      <c r="POR86" s="27"/>
      <c r="POS86" s="27"/>
      <c r="POT86" s="27"/>
      <c r="POU86" s="27"/>
      <c r="POV86" s="27"/>
      <c r="POW86" s="27"/>
      <c r="POX86" s="27"/>
      <c r="POY86" s="27"/>
      <c r="POZ86" s="27"/>
      <c r="PPA86" s="27"/>
      <c r="PPB86" s="27"/>
      <c r="PPC86" s="27"/>
      <c r="PPD86" s="27"/>
      <c r="PPE86" s="27"/>
      <c r="PPF86" s="27"/>
      <c r="PPG86" s="27"/>
      <c r="PPH86" s="27"/>
      <c r="PPI86" s="27"/>
      <c r="PPJ86" s="27"/>
      <c r="PPK86" s="27"/>
      <c r="PPL86" s="27"/>
      <c r="PPM86" s="27"/>
      <c r="PPN86" s="27"/>
      <c r="PPO86" s="27"/>
      <c r="PPP86" s="27"/>
      <c r="PPQ86" s="27"/>
      <c r="PPR86" s="27"/>
      <c r="PPS86" s="27"/>
      <c r="PPT86" s="27"/>
      <c r="PPU86" s="27"/>
      <c r="PPV86" s="27"/>
      <c r="PPW86" s="27"/>
      <c r="PPX86" s="27"/>
      <c r="PPY86" s="27"/>
      <c r="PPZ86" s="27"/>
      <c r="PQA86" s="27"/>
      <c r="PQB86" s="27"/>
      <c r="PQC86" s="27"/>
      <c r="PQD86" s="27"/>
      <c r="PQE86" s="27"/>
      <c r="PQF86" s="27"/>
      <c r="PQG86" s="27"/>
      <c r="PQH86" s="27"/>
      <c r="PQI86" s="27"/>
      <c r="PQJ86" s="27"/>
      <c r="PQK86" s="27"/>
      <c r="PQL86" s="27"/>
      <c r="PQM86" s="27"/>
      <c r="PQN86" s="27"/>
      <c r="PQO86" s="27"/>
      <c r="PQP86" s="27"/>
      <c r="PQQ86" s="27"/>
      <c r="PQR86" s="27"/>
      <c r="PQS86" s="27"/>
      <c r="PQT86" s="27"/>
      <c r="PQU86" s="27"/>
      <c r="PQV86" s="27"/>
      <c r="PQW86" s="27"/>
      <c r="PQX86" s="27"/>
      <c r="PQY86" s="27"/>
      <c r="PQZ86" s="27"/>
      <c r="PRA86" s="27"/>
      <c r="PRB86" s="27"/>
      <c r="PRC86" s="27"/>
      <c r="PRD86" s="27"/>
      <c r="PRE86" s="27"/>
      <c r="PRF86" s="27"/>
      <c r="PRG86" s="27"/>
      <c r="PRH86" s="27"/>
      <c r="PRI86" s="27"/>
      <c r="PRJ86" s="27"/>
      <c r="PRK86" s="27"/>
      <c r="PRL86" s="27"/>
      <c r="PRM86" s="27"/>
      <c r="PRN86" s="27"/>
      <c r="PRO86" s="27"/>
      <c r="PRP86" s="27"/>
      <c r="PRQ86" s="27"/>
      <c r="PRR86" s="27"/>
      <c r="PRS86" s="27"/>
      <c r="PRT86" s="27"/>
      <c r="PRU86" s="27"/>
      <c r="PRV86" s="27"/>
      <c r="PRW86" s="27"/>
      <c r="PRX86" s="27"/>
      <c r="PRY86" s="27"/>
      <c r="PRZ86" s="27"/>
      <c r="PSA86" s="27"/>
      <c r="PSB86" s="27"/>
      <c r="PSC86" s="27"/>
      <c r="PSD86" s="27"/>
      <c r="PSE86" s="27"/>
      <c r="PSF86" s="27"/>
      <c r="PSG86" s="27"/>
      <c r="PSH86" s="27"/>
      <c r="PSI86" s="27"/>
      <c r="PSJ86" s="27"/>
      <c r="PSK86" s="27"/>
      <c r="PSL86" s="27"/>
      <c r="PSM86" s="27"/>
      <c r="PSN86" s="27"/>
      <c r="PSO86" s="27"/>
      <c r="PSP86" s="27"/>
      <c r="PSQ86" s="27"/>
      <c r="PSR86" s="27"/>
      <c r="PSS86" s="27"/>
      <c r="PST86" s="27"/>
      <c r="PSU86" s="27"/>
      <c r="PSV86" s="27"/>
      <c r="PSW86" s="27"/>
      <c r="PSX86" s="27"/>
      <c r="PSY86" s="27"/>
      <c r="PSZ86" s="27"/>
      <c r="PTA86" s="27"/>
      <c r="PTB86" s="27"/>
      <c r="PTC86" s="27"/>
      <c r="PTD86" s="27"/>
      <c r="PTE86" s="27"/>
      <c r="PTF86" s="27"/>
      <c r="PTG86" s="27"/>
      <c r="PTH86" s="27"/>
      <c r="PTI86" s="27"/>
      <c r="PTJ86" s="27"/>
      <c r="PTK86" s="27"/>
      <c r="PTL86" s="27"/>
      <c r="PTM86" s="27"/>
      <c r="PTN86" s="27"/>
      <c r="PTO86" s="27"/>
      <c r="PTP86" s="27"/>
      <c r="PTQ86" s="27"/>
      <c r="PTR86" s="27"/>
      <c r="PTS86" s="27"/>
      <c r="PTT86" s="27"/>
      <c r="PTU86" s="27"/>
      <c r="PTV86" s="27"/>
      <c r="PTW86" s="27"/>
      <c r="PTX86" s="27"/>
      <c r="PTY86" s="27"/>
      <c r="PTZ86" s="27"/>
      <c r="PUA86" s="27"/>
      <c r="PUB86" s="27"/>
      <c r="PUC86" s="27"/>
      <c r="PUD86" s="27"/>
      <c r="PUE86" s="27"/>
      <c r="PUF86" s="27"/>
      <c r="PUG86" s="27"/>
      <c r="PUH86" s="27"/>
      <c r="PUI86" s="27"/>
      <c r="PUJ86" s="27"/>
      <c r="PUK86" s="27"/>
      <c r="PUL86" s="27"/>
      <c r="PUM86" s="27"/>
      <c r="PUN86" s="27"/>
      <c r="PUO86" s="27"/>
      <c r="PUP86" s="27"/>
      <c r="PUQ86" s="27"/>
      <c r="PUR86" s="27"/>
      <c r="PUS86" s="27"/>
      <c r="PUT86" s="27"/>
      <c r="PUU86" s="27"/>
      <c r="PUV86" s="27"/>
      <c r="PUW86" s="27"/>
      <c r="PUX86" s="27"/>
      <c r="PUY86" s="27"/>
      <c r="PUZ86" s="27"/>
      <c r="PVA86" s="27"/>
      <c r="PVB86" s="27"/>
      <c r="PVC86" s="27"/>
      <c r="PVD86" s="27"/>
      <c r="PVE86" s="27"/>
      <c r="PVF86" s="27"/>
      <c r="PVG86" s="27"/>
      <c r="PVH86" s="27"/>
      <c r="PVI86" s="27"/>
      <c r="PVJ86" s="27"/>
      <c r="PVK86" s="27"/>
      <c r="PVL86" s="27"/>
      <c r="PVM86" s="27"/>
      <c r="PVN86" s="27"/>
      <c r="PVO86" s="27"/>
      <c r="PVP86" s="27"/>
      <c r="PVQ86" s="27"/>
      <c r="PVR86" s="27"/>
      <c r="PVS86" s="27"/>
      <c r="PVT86" s="27"/>
      <c r="PVU86" s="27"/>
      <c r="PVV86" s="27"/>
      <c r="PVW86" s="27"/>
      <c r="PVX86" s="27"/>
      <c r="PVY86" s="27"/>
      <c r="PVZ86" s="27"/>
      <c r="PWA86" s="27"/>
      <c r="PWB86" s="27"/>
      <c r="PWC86" s="27"/>
      <c r="PWD86" s="27"/>
      <c r="PWE86" s="27"/>
      <c r="PWF86" s="27"/>
      <c r="PWG86" s="27"/>
      <c r="PWH86" s="27"/>
      <c r="PWI86" s="27"/>
      <c r="PWJ86" s="27"/>
      <c r="PWK86" s="27"/>
      <c r="PWL86" s="27"/>
      <c r="PWM86" s="27"/>
      <c r="PWN86" s="27"/>
      <c r="PWO86" s="27"/>
      <c r="PWP86" s="27"/>
      <c r="PWQ86" s="27"/>
      <c r="PWR86" s="27"/>
      <c r="PWS86" s="27"/>
      <c r="PWT86" s="27"/>
      <c r="PWU86" s="27"/>
      <c r="PWV86" s="27"/>
      <c r="PWW86" s="27"/>
      <c r="PWX86" s="27"/>
      <c r="PWY86" s="27"/>
      <c r="PWZ86" s="27"/>
      <c r="PXA86" s="27"/>
      <c r="PXB86" s="27"/>
      <c r="PXC86" s="27"/>
      <c r="PXD86" s="27"/>
      <c r="PXE86" s="27"/>
      <c r="PXF86" s="27"/>
      <c r="PXG86" s="27"/>
      <c r="PXH86" s="27"/>
      <c r="PXI86" s="27"/>
      <c r="PXJ86" s="27"/>
      <c r="PXK86" s="27"/>
      <c r="PXL86" s="27"/>
      <c r="PXM86" s="27"/>
      <c r="PXN86" s="27"/>
      <c r="PXO86" s="27"/>
      <c r="PXP86" s="27"/>
      <c r="PXQ86" s="27"/>
      <c r="PXR86" s="27"/>
      <c r="PXS86" s="27"/>
      <c r="PXT86" s="27"/>
      <c r="PXU86" s="27"/>
      <c r="PXV86" s="27"/>
      <c r="PXW86" s="27"/>
      <c r="PXX86" s="27"/>
      <c r="PXY86" s="27"/>
      <c r="PXZ86" s="27"/>
      <c r="PYA86" s="27"/>
      <c r="PYB86" s="27"/>
      <c r="PYC86" s="27"/>
      <c r="PYD86" s="27"/>
      <c r="PYE86" s="27"/>
      <c r="PYF86" s="27"/>
      <c r="PYG86" s="27"/>
      <c r="PYH86" s="27"/>
      <c r="PYI86" s="27"/>
      <c r="PYJ86" s="27"/>
      <c r="PYK86" s="27"/>
      <c r="PYL86" s="27"/>
      <c r="PYM86" s="27"/>
      <c r="PYN86" s="27"/>
      <c r="PYO86" s="27"/>
      <c r="PYP86" s="27"/>
      <c r="PYQ86" s="27"/>
      <c r="PYR86" s="27"/>
      <c r="PYS86" s="27"/>
      <c r="PYT86" s="27"/>
      <c r="PYU86" s="27"/>
      <c r="PYV86" s="27"/>
      <c r="PYW86" s="27"/>
      <c r="PYX86" s="27"/>
      <c r="PYY86" s="27"/>
      <c r="PYZ86" s="27"/>
      <c r="PZA86" s="27"/>
      <c r="PZB86" s="27"/>
      <c r="PZC86" s="27"/>
      <c r="PZD86" s="27"/>
      <c r="PZE86" s="27"/>
      <c r="PZF86" s="27"/>
      <c r="PZG86" s="27"/>
      <c r="PZH86" s="27"/>
      <c r="PZI86" s="27"/>
      <c r="PZJ86" s="27"/>
      <c r="PZK86" s="27"/>
      <c r="PZL86" s="27"/>
      <c r="PZM86" s="27"/>
      <c r="PZN86" s="27"/>
      <c r="PZO86" s="27"/>
      <c r="PZP86" s="27"/>
      <c r="PZQ86" s="27"/>
      <c r="PZR86" s="27"/>
      <c r="PZS86" s="27"/>
      <c r="PZT86" s="27"/>
      <c r="PZU86" s="27"/>
      <c r="PZV86" s="27"/>
      <c r="PZW86" s="27"/>
      <c r="PZX86" s="27"/>
      <c r="PZY86" s="27"/>
      <c r="PZZ86" s="27"/>
      <c r="QAA86" s="27"/>
      <c r="QAB86" s="27"/>
      <c r="QAC86" s="27"/>
      <c r="QAD86" s="27"/>
      <c r="QAE86" s="27"/>
      <c r="QAF86" s="27"/>
      <c r="QAG86" s="27"/>
      <c r="QAH86" s="27"/>
      <c r="QAI86" s="27"/>
      <c r="QAJ86" s="27"/>
      <c r="QAK86" s="27"/>
      <c r="QAL86" s="27"/>
      <c r="QAM86" s="27"/>
      <c r="QAN86" s="27"/>
      <c r="QAO86" s="27"/>
      <c r="QAP86" s="27"/>
      <c r="QAQ86" s="27"/>
      <c r="QAR86" s="27"/>
      <c r="QAS86" s="27"/>
      <c r="QAT86" s="27"/>
      <c r="QAU86" s="27"/>
      <c r="QAV86" s="27"/>
      <c r="QAW86" s="27"/>
      <c r="QAX86" s="27"/>
      <c r="QAY86" s="27"/>
      <c r="QAZ86" s="27"/>
      <c r="QBA86" s="27"/>
      <c r="QBB86" s="27"/>
      <c r="QBC86" s="27"/>
      <c r="QBD86" s="27"/>
      <c r="QBE86" s="27"/>
      <c r="QBF86" s="27"/>
      <c r="QBG86" s="27"/>
      <c r="QBH86" s="27"/>
      <c r="QBI86" s="27"/>
      <c r="QBJ86" s="27"/>
      <c r="QBK86" s="27"/>
      <c r="QBL86" s="27"/>
      <c r="QBM86" s="27"/>
      <c r="QBN86" s="27"/>
      <c r="QBO86" s="27"/>
      <c r="QBP86" s="27"/>
      <c r="QBQ86" s="27"/>
      <c r="QBR86" s="27"/>
      <c r="QBS86" s="27"/>
      <c r="QBT86" s="27"/>
      <c r="QBU86" s="27"/>
      <c r="QBV86" s="27"/>
      <c r="QBW86" s="27"/>
      <c r="QBX86" s="27"/>
      <c r="QBY86" s="27"/>
      <c r="QBZ86" s="27"/>
      <c r="QCA86" s="27"/>
      <c r="QCB86" s="27"/>
      <c r="QCC86" s="27"/>
      <c r="QCD86" s="27"/>
      <c r="QCE86" s="27"/>
      <c r="QCF86" s="27"/>
      <c r="QCG86" s="27"/>
      <c r="QCH86" s="27"/>
      <c r="QCI86" s="27"/>
      <c r="QCJ86" s="27"/>
      <c r="QCK86" s="27"/>
      <c r="QCL86" s="27"/>
      <c r="QCM86" s="27"/>
      <c r="QCN86" s="27"/>
      <c r="QCO86" s="27"/>
      <c r="QCP86" s="27"/>
      <c r="QCQ86" s="27"/>
      <c r="QCR86" s="27"/>
      <c r="QCS86" s="27"/>
      <c r="QCT86" s="27"/>
      <c r="QCU86" s="27"/>
      <c r="QCV86" s="27"/>
      <c r="QCW86" s="27"/>
      <c r="QCX86" s="27"/>
      <c r="QCY86" s="27"/>
      <c r="QCZ86" s="27"/>
      <c r="QDA86" s="27"/>
      <c r="QDB86" s="27"/>
      <c r="QDC86" s="27"/>
      <c r="QDD86" s="27"/>
      <c r="QDE86" s="27"/>
      <c r="QDF86" s="27"/>
      <c r="QDG86" s="27"/>
      <c r="QDH86" s="27"/>
      <c r="QDI86" s="27"/>
      <c r="QDJ86" s="27"/>
      <c r="QDK86" s="27"/>
      <c r="QDL86" s="27"/>
      <c r="QDM86" s="27"/>
      <c r="QDN86" s="27"/>
      <c r="QDO86" s="27"/>
      <c r="QDP86" s="27"/>
      <c r="QDQ86" s="27"/>
      <c r="QDR86" s="27"/>
      <c r="QDS86" s="27"/>
      <c r="QDT86" s="27"/>
      <c r="QDU86" s="27"/>
      <c r="QDV86" s="27"/>
      <c r="QDW86" s="27"/>
      <c r="QDX86" s="27"/>
      <c r="QDY86" s="27"/>
      <c r="QDZ86" s="27"/>
      <c r="QEA86" s="27"/>
      <c r="QEB86" s="27"/>
      <c r="QEC86" s="27"/>
      <c r="QED86" s="27"/>
      <c r="QEE86" s="27"/>
      <c r="QEF86" s="27"/>
      <c r="QEG86" s="27"/>
      <c r="QEH86" s="27"/>
      <c r="QEI86" s="27"/>
      <c r="QEJ86" s="27"/>
      <c r="QEK86" s="27"/>
      <c r="QEL86" s="27"/>
      <c r="QEM86" s="27"/>
      <c r="QEN86" s="27"/>
      <c r="QEO86" s="27"/>
      <c r="QEP86" s="27"/>
      <c r="QEQ86" s="27"/>
      <c r="QER86" s="27"/>
      <c r="QES86" s="27"/>
      <c r="QET86" s="27"/>
      <c r="QEU86" s="27"/>
      <c r="QEV86" s="27"/>
      <c r="QEW86" s="27"/>
      <c r="QEX86" s="27"/>
      <c r="QEY86" s="27"/>
      <c r="QEZ86" s="27"/>
      <c r="QFA86" s="27"/>
      <c r="QFB86" s="27"/>
      <c r="QFC86" s="27"/>
      <c r="QFD86" s="27"/>
      <c r="QFE86" s="27"/>
      <c r="QFF86" s="27"/>
      <c r="QFG86" s="27"/>
      <c r="QFH86" s="27"/>
      <c r="QFI86" s="27"/>
      <c r="QFJ86" s="27"/>
      <c r="QFK86" s="27"/>
      <c r="QFL86" s="27"/>
      <c r="QFM86" s="27"/>
      <c r="QFN86" s="27"/>
      <c r="QFO86" s="27"/>
      <c r="QFP86" s="27"/>
      <c r="QFQ86" s="27"/>
      <c r="QFR86" s="27"/>
      <c r="QFS86" s="27"/>
      <c r="QFT86" s="27"/>
      <c r="QFU86" s="27"/>
      <c r="QFV86" s="27"/>
      <c r="QFW86" s="27"/>
      <c r="QFX86" s="27"/>
      <c r="QFY86" s="27"/>
      <c r="QFZ86" s="27"/>
      <c r="QGA86" s="27"/>
      <c r="QGB86" s="27"/>
      <c r="QGC86" s="27"/>
      <c r="QGD86" s="27"/>
      <c r="QGE86" s="27"/>
      <c r="QGF86" s="27"/>
      <c r="QGG86" s="27"/>
      <c r="QGH86" s="27"/>
      <c r="QGI86" s="27"/>
      <c r="QGJ86" s="27"/>
      <c r="QGK86" s="27"/>
      <c r="QGL86" s="27"/>
      <c r="QGM86" s="27"/>
      <c r="QGN86" s="27"/>
      <c r="QGO86" s="27"/>
      <c r="QGP86" s="27"/>
      <c r="QGQ86" s="27"/>
      <c r="QGR86" s="27"/>
      <c r="QGS86" s="27"/>
      <c r="QGT86" s="27"/>
      <c r="QGU86" s="27"/>
      <c r="QGV86" s="27"/>
      <c r="QGW86" s="27"/>
      <c r="QGX86" s="27"/>
      <c r="QGY86" s="27"/>
      <c r="QGZ86" s="27"/>
      <c r="QHA86" s="27"/>
      <c r="QHB86" s="27"/>
      <c r="QHC86" s="27"/>
      <c r="QHD86" s="27"/>
      <c r="QHE86" s="27"/>
      <c r="QHF86" s="27"/>
      <c r="QHG86" s="27"/>
      <c r="QHH86" s="27"/>
      <c r="QHI86" s="27"/>
      <c r="QHJ86" s="27"/>
      <c r="QHK86" s="27"/>
      <c r="QHL86" s="27"/>
      <c r="QHM86" s="27"/>
      <c r="QHN86" s="27"/>
      <c r="QHO86" s="27"/>
      <c r="QHP86" s="27"/>
      <c r="QHQ86" s="27"/>
      <c r="QHR86" s="27"/>
      <c r="QHS86" s="27"/>
      <c r="QHT86" s="27"/>
      <c r="QHU86" s="27"/>
      <c r="QHV86" s="27"/>
      <c r="QHW86" s="27"/>
      <c r="QHX86" s="27"/>
      <c r="QHY86" s="27"/>
      <c r="QHZ86" s="27"/>
      <c r="QIA86" s="27"/>
      <c r="QIB86" s="27"/>
      <c r="QIC86" s="27"/>
      <c r="QID86" s="27"/>
      <c r="QIE86" s="27"/>
      <c r="QIF86" s="27"/>
      <c r="QIG86" s="27"/>
      <c r="QIH86" s="27"/>
      <c r="QII86" s="27"/>
      <c r="QIJ86" s="27"/>
      <c r="QIK86" s="27"/>
      <c r="QIL86" s="27"/>
      <c r="QIM86" s="27"/>
      <c r="QIN86" s="27"/>
      <c r="QIO86" s="27"/>
      <c r="QIP86" s="27"/>
      <c r="QIQ86" s="27"/>
      <c r="QIR86" s="27"/>
      <c r="QIS86" s="27"/>
      <c r="QIT86" s="27"/>
      <c r="QIU86" s="27"/>
      <c r="QIV86" s="27"/>
      <c r="QIW86" s="27"/>
      <c r="QIX86" s="27"/>
      <c r="QIY86" s="27"/>
      <c r="QIZ86" s="27"/>
      <c r="QJA86" s="27"/>
      <c r="QJB86" s="27"/>
      <c r="QJC86" s="27"/>
      <c r="QJD86" s="27"/>
      <c r="QJE86" s="27"/>
      <c r="QJF86" s="27"/>
      <c r="QJG86" s="27"/>
      <c r="QJH86" s="27"/>
      <c r="QJI86" s="27"/>
      <c r="QJJ86" s="27"/>
      <c r="QJK86" s="27"/>
      <c r="QJL86" s="27"/>
      <c r="QJM86" s="27"/>
      <c r="QJN86" s="27"/>
      <c r="QJO86" s="27"/>
      <c r="QJP86" s="27"/>
      <c r="QJQ86" s="27"/>
      <c r="QJR86" s="27"/>
      <c r="QJS86" s="27"/>
      <c r="QJT86" s="27"/>
      <c r="QJU86" s="27"/>
      <c r="QJV86" s="27"/>
      <c r="QJW86" s="27"/>
      <c r="QJX86" s="27"/>
      <c r="QJY86" s="27"/>
      <c r="QJZ86" s="27"/>
      <c r="QKA86" s="27"/>
      <c r="QKB86" s="27"/>
      <c r="QKC86" s="27"/>
      <c r="QKD86" s="27"/>
      <c r="QKE86" s="27"/>
      <c r="QKF86" s="27"/>
      <c r="QKG86" s="27"/>
      <c r="QKH86" s="27"/>
      <c r="QKI86" s="27"/>
      <c r="QKJ86" s="27"/>
      <c r="QKK86" s="27"/>
      <c r="QKL86" s="27"/>
      <c r="QKM86" s="27"/>
      <c r="QKN86" s="27"/>
      <c r="QKO86" s="27"/>
      <c r="QKP86" s="27"/>
      <c r="QKQ86" s="27"/>
      <c r="QKR86" s="27"/>
      <c r="QKS86" s="27"/>
      <c r="QKT86" s="27"/>
      <c r="QKU86" s="27"/>
      <c r="QKV86" s="27"/>
      <c r="QKW86" s="27"/>
      <c r="QKX86" s="27"/>
      <c r="QKY86" s="27"/>
      <c r="QKZ86" s="27"/>
      <c r="QLA86" s="27"/>
      <c r="QLB86" s="27"/>
      <c r="QLC86" s="27"/>
      <c r="QLD86" s="27"/>
      <c r="QLE86" s="27"/>
      <c r="QLF86" s="27"/>
      <c r="QLG86" s="27"/>
      <c r="QLH86" s="27"/>
      <c r="QLI86" s="27"/>
      <c r="QLJ86" s="27"/>
      <c r="QLK86" s="27"/>
      <c r="QLL86" s="27"/>
      <c r="QLM86" s="27"/>
      <c r="QLN86" s="27"/>
      <c r="QLO86" s="27"/>
      <c r="QLP86" s="27"/>
      <c r="QLQ86" s="27"/>
      <c r="QLR86" s="27"/>
      <c r="QLS86" s="27"/>
      <c r="QLT86" s="27"/>
      <c r="QLU86" s="27"/>
      <c r="QLV86" s="27"/>
      <c r="QLW86" s="27"/>
      <c r="QLX86" s="27"/>
      <c r="QLY86" s="27"/>
      <c r="QLZ86" s="27"/>
      <c r="QMA86" s="27"/>
      <c r="QMB86" s="27"/>
      <c r="QMC86" s="27"/>
      <c r="QMD86" s="27"/>
      <c r="QME86" s="27"/>
      <c r="QMF86" s="27"/>
      <c r="QMG86" s="27"/>
      <c r="QMH86" s="27"/>
      <c r="QMI86" s="27"/>
      <c r="QMJ86" s="27"/>
      <c r="QMK86" s="27"/>
      <c r="QML86" s="27"/>
      <c r="QMM86" s="27"/>
      <c r="QMN86" s="27"/>
      <c r="QMO86" s="27"/>
      <c r="QMP86" s="27"/>
      <c r="QMQ86" s="27"/>
      <c r="QMR86" s="27"/>
      <c r="QMS86" s="27"/>
      <c r="QMT86" s="27"/>
      <c r="QMU86" s="27"/>
      <c r="QMV86" s="27"/>
      <c r="QMW86" s="27"/>
      <c r="QMX86" s="27"/>
      <c r="QMY86" s="27"/>
      <c r="QMZ86" s="27"/>
      <c r="QNA86" s="27"/>
      <c r="QNB86" s="27"/>
      <c r="QNC86" s="27"/>
      <c r="QND86" s="27"/>
      <c r="QNE86" s="27"/>
      <c r="QNF86" s="27"/>
      <c r="QNG86" s="27"/>
      <c r="QNH86" s="27"/>
      <c r="QNI86" s="27"/>
      <c r="QNJ86" s="27"/>
      <c r="QNK86" s="27"/>
      <c r="QNL86" s="27"/>
      <c r="QNM86" s="27"/>
      <c r="QNN86" s="27"/>
      <c r="QNO86" s="27"/>
      <c r="QNP86" s="27"/>
      <c r="QNQ86" s="27"/>
      <c r="QNR86" s="27"/>
      <c r="QNS86" s="27"/>
      <c r="QNT86" s="27"/>
      <c r="QNU86" s="27"/>
      <c r="QNV86" s="27"/>
      <c r="QNW86" s="27"/>
      <c r="QNX86" s="27"/>
      <c r="QNY86" s="27"/>
      <c r="QNZ86" s="27"/>
      <c r="QOA86" s="27"/>
      <c r="QOB86" s="27"/>
      <c r="QOC86" s="27"/>
      <c r="QOD86" s="27"/>
      <c r="QOE86" s="27"/>
      <c r="QOF86" s="27"/>
      <c r="QOG86" s="27"/>
      <c r="QOH86" s="27"/>
      <c r="QOI86" s="27"/>
      <c r="QOJ86" s="27"/>
      <c r="QOK86" s="27"/>
      <c r="QOL86" s="27"/>
      <c r="QOM86" s="27"/>
      <c r="QON86" s="27"/>
      <c r="QOO86" s="27"/>
      <c r="QOP86" s="27"/>
      <c r="QOQ86" s="27"/>
      <c r="QOR86" s="27"/>
      <c r="QOS86" s="27"/>
      <c r="QOT86" s="27"/>
      <c r="QOU86" s="27"/>
      <c r="QOV86" s="27"/>
      <c r="QOW86" s="27"/>
      <c r="QOX86" s="27"/>
      <c r="QOY86" s="27"/>
      <c r="QOZ86" s="27"/>
      <c r="QPA86" s="27"/>
      <c r="QPB86" s="27"/>
      <c r="QPC86" s="27"/>
      <c r="QPD86" s="27"/>
      <c r="QPE86" s="27"/>
      <c r="QPF86" s="27"/>
      <c r="QPG86" s="27"/>
      <c r="QPH86" s="27"/>
      <c r="QPI86" s="27"/>
      <c r="QPJ86" s="27"/>
      <c r="QPK86" s="27"/>
      <c r="QPL86" s="27"/>
      <c r="QPM86" s="27"/>
      <c r="QPN86" s="27"/>
      <c r="QPO86" s="27"/>
      <c r="QPP86" s="27"/>
      <c r="QPQ86" s="27"/>
      <c r="QPR86" s="27"/>
      <c r="QPS86" s="27"/>
      <c r="QPT86" s="27"/>
      <c r="QPU86" s="27"/>
      <c r="QPV86" s="27"/>
      <c r="QPW86" s="27"/>
      <c r="QPX86" s="27"/>
      <c r="QPY86" s="27"/>
      <c r="QPZ86" s="27"/>
      <c r="QQA86" s="27"/>
      <c r="QQB86" s="27"/>
      <c r="QQC86" s="27"/>
      <c r="QQD86" s="27"/>
      <c r="QQE86" s="27"/>
      <c r="QQF86" s="27"/>
      <c r="QQG86" s="27"/>
      <c r="QQH86" s="27"/>
      <c r="QQI86" s="27"/>
      <c r="QQJ86" s="27"/>
      <c r="QQK86" s="27"/>
      <c r="QQL86" s="27"/>
      <c r="QQM86" s="27"/>
      <c r="QQN86" s="27"/>
      <c r="QQO86" s="27"/>
      <c r="QQP86" s="27"/>
      <c r="QQQ86" s="27"/>
      <c r="QQR86" s="27"/>
      <c r="QQS86" s="27"/>
      <c r="QQT86" s="27"/>
      <c r="QQU86" s="27"/>
      <c r="QQV86" s="27"/>
      <c r="QQW86" s="27"/>
      <c r="QQX86" s="27"/>
      <c r="QQY86" s="27"/>
      <c r="QQZ86" s="27"/>
      <c r="QRA86" s="27"/>
      <c r="QRB86" s="27"/>
      <c r="QRC86" s="27"/>
      <c r="QRD86" s="27"/>
      <c r="QRE86" s="27"/>
      <c r="QRF86" s="27"/>
      <c r="QRG86" s="27"/>
      <c r="QRH86" s="27"/>
      <c r="QRI86" s="27"/>
      <c r="QRJ86" s="27"/>
      <c r="QRK86" s="27"/>
      <c r="QRL86" s="27"/>
      <c r="QRM86" s="27"/>
      <c r="QRN86" s="27"/>
      <c r="QRO86" s="27"/>
      <c r="QRP86" s="27"/>
      <c r="QRQ86" s="27"/>
      <c r="QRR86" s="27"/>
      <c r="QRS86" s="27"/>
      <c r="QRT86" s="27"/>
      <c r="QRU86" s="27"/>
      <c r="QRV86" s="27"/>
      <c r="QRW86" s="27"/>
      <c r="QRX86" s="27"/>
      <c r="QRY86" s="27"/>
      <c r="QRZ86" s="27"/>
      <c r="QSA86" s="27"/>
      <c r="QSB86" s="27"/>
      <c r="QSC86" s="27"/>
      <c r="QSD86" s="27"/>
      <c r="QSE86" s="27"/>
      <c r="QSF86" s="27"/>
      <c r="QSG86" s="27"/>
      <c r="QSH86" s="27"/>
      <c r="QSI86" s="27"/>
      <c r="QSJ86" s="27"/>
      <c r="QSK86" s="27"/>
      <c r="QSL86" s="27"/>
      <c r="QSM86" s="27"/>
      <c r="QSN86" s="27"/>
      <c r="QSO86" s="27"/>
      <c r="QSP86" s="27"/>
      <c r="QSQ86" s="27"/>
      <c r="QSR86" s="27"/>
      <c r="QSS86" s="27"/>
      <c r="QST86" s="27"/>
      <c r="QSU86" s="27"/>
      <c r="QSV86" s="27"/>
      <c r="QSW86" s="27"/>
      <c r="QSX86" s="27"/>
      <c r="QSY86" s="27"/>
      <c r="QSZ86" s="27"/>
      <c r="QTA86" s="27"/>
      <c r="QTB86" s="27"/>
      <c r="QTC86" s="27"/>
      <c r="QTD86" s="27"/>
      <c r="QTE86" s="27"/>
      <c r="QTF86" s="27"/>
      <c r="QTG86" s="27"/>
      <c r="QTH86" s="27"/>
      <c r="QTI86" s="27"/>
      <c r="QTJ86" s="27"/>
      <c r="QTK86" s="27"/>
      <c r="QTL86" s="27"/>
      <c r="QTM86" s="27"/>
      <c r="QTN86" s="27"/>
      <c r="QTO86" s="27"/>
      <c r="QTP86" s="27"/>
      <c r="QTQ86" s="27"/>
      <c r="QTR86" s="27"/>
      <c r="QTS86" s="27"/>
      <c r="QTT86" s="27"/>
      <c r="QTU86" s="27"/>
      <c r="QTV86" s="27"/>
      <c r="QTW86" s="27"/>
      <c r="QTX86" s="27"/>
      <c r="QTY86" s="27"/>
      <c r="QTZ86" s="27"/>
      <c r="QUA86" s="27"/>
      <c r="QUB86" s="27"/>
      <c r="QUC86" s="27"/>
      <c r="QUD86" s="27"/>
      <c r="QUE86" s="27"/>
      <c r="QUF86" s="27"/>
      <c r="QUG86" s="27"/>
      <c r="QUH86" s="27"/>
      <c r="QUI86" s="27"/>
      <c r="QUJ86" s="27"/>
      <c r="QUK86" s="27"/>
      <c r="QUL86" s="27"/>
      <c r="QUM86" s="27"/>
      <c r="QUN86" s="27"/>
      <c r="QUO86" s="27"/>
      <c r="QUP86" s="27"/>
      <c r="QUQ86" s="27"/>
      <c r="QUR86" s="27"/>
      <c r="QUS86" s="27"/>
      <c r="QUT86" s="27"/>
      <c r="QUU86" s="27"/>
      <c r="QUV86" s="27"/>
      <c r="QUW86" s="27"/>
      <c r="QUX86" s="27"/>
      <c r="QUY86" s="27"/>
      <c r="QUZ86" s="27"/>
      <c r="QVA86" s="27"/>
      <c r="QVB86" s="27"/>
      <c r="QVC86" s="27"/>
      <c r="QVD86" s="27"/>
      <c r="QVE86" s="27"/>
      <c r="QVF86" s="27"/>
      <c r="QVG86" s="27"/>
      <c r="QVH86" s="27"/>
      <c r="QVI86" s="27"/>
      <c r="QVJ86" s="27"/>
      <c r="QVK86" s="27"/>
      <c r="QVL86" s="27"/>
      <c r="QVM86" s="27"/>
      <c r="QVN86" s="27"/>
      <c r="QVO86" s="27"/>
      <c r="QVP86" s="27"/>
      <c r="QVQ86" s="27"/>
      <c r="QVR86" s="27"/>
      <c r="QVS86" s="27"/>
      <c r="QVT86" s="27"/>
      <c r="QVU86" s="27"/>
      <c r="QVV86" s="27"/>
      <c r="QVW86" s="27"/>
      <c r="QVX86" s="27"/>
      <c r="QVY86" s="27"/>
      <c r="QVZ86" s="27"/>
      <c r="QWA86" s="27"/>
      <c r="QWB86" s="27"/>
      <c r="QWC86" s="27"/>
      <c r="QWD86" s="27"/>
      <c r="QWE86" s="27"/>
      <c r="QWF86" s="27"/>
      <c r="QWG86" s="27"/>
      <c r="QWH86" s="27"/>
      <c r="QWI86" s="27"/>
      <c r="QWJ86" s="27"/>
      <c r="QWK86" s="27"/>
      <c r="QWL86" s="27"/>
      <c r="QWM86" s="27"/>
      <c r="QWN86" s="27"/>
      <c r="QWO86" s="27"/>
      <c r="QWP86" s="27"/>
      <c r="QWQ86" s="27"/>
      <c r="QWR86" s="27"/>
      <c r="QWS86" s="27"/>
      <c r="QWT86" s="27"/>
      <c r="QWU86" s="27"/>
      <c r="QWV86" s="27"/>
      <c r="QWW86" s="27"/>
      <c r="QWX86" s="27"/>
      <c r="QWY86" s="27"/>
      <c r="QWZ86" s="27"/>
      <c r="QXA86" s="27"/>
      <c r="QXB86" s="27"/>
      <c r="QXC86" s="27"/>
      <c r="QXD86" s="27"/>
      <c r="QXE86" s="27"/>
      <c r="QXF86" s="27"/>
      <c r="QXG86" s="27"/>
      <c r="QXH86" s="27"/>
      <c r="QXI86" s="27"/>
      <c r="QXJ86" s="27"/>
      <c r="QXK86" s="27"/>
      <c r="QXL86" s="27"/>
      <c r="QXM86" s="27"/>
      <c r="QXN86" s="27"/>
      <c r="QXO86" s="27"/>
      <c r="QXP86" s="27"/>
      <c r="QXQ86" s="27"/>
      <c r="QXR86" s="27"/>
      <c r="QXS86" s="27"/>
      <c r="QXT86" s="27"/>
      <c r="QXU86" s="27"/>
      <c r="QXV86" s="27"/>
      <c r="QXW86" s="27"/>
      <c r="QXX86" s="27"/>
      <c r="QXY86" s="27"/>
      <c r="QXZ86" s="27"/>
      <c r="QYA86" s="27"/>
      <c r="QYB86" s="27"/>
      <c r="QYC86" s="27"/>
      <c r="QYD86" s="27"/>
      <c r="QYE86" s="27"/>
      <c r="QYF86" s="27"/>
      <c r="QYG86" s="27"/>
      <c r="QYH86" s="27"/>
      <c r="QYI86" s="27"/>
      <c r="QYJ86" s="27"/>
      <c r="QYK86" s="27"/>
      <c r="QYL86" s="27"/>
      <c r="QYM86" s="27"/>
      <c r="QYN86" s="27"/>
      <c r="QYO86" s="27"/>
      <c r="QYP86" s="27"/>
      <c r="QYQ86" s="27"/>
      <c r="QYR86" s="27"/>
      <c r="QYS86" s="27"/>
      <c r="QYT86" s="27"/>
      <c r="QYU86" s="27"/>
      <c r="QYV86" s="27"/>
      <c r="QYW86" s="27"/>
      <c r="QYX86" s="27"/>
      <c r="QYY86" s="27"/>
      <c r="QYZ86" s="27"/>
      <c r="QZA86" s="27"/>
      <c r="QZB86" s="27"/>
      <c r="QZC86" s="27"/>
      <c r="QZD86" s="27"/>
      <c r="QZE86" s="27"/>
      <c r="QZF86" s="27"/>
      <c r="QZG86" s="27"/>
      <c r="QZH86" s="27"/>
      <c r="QZI86" s="27"/>
      <c r="QZJ86" s="27"/>
      <c r="QZK86" s="27"/>
      <c r="QZL86" s="27"/>
      <c r="QZM86" s="27"/>
      <c r="QZN86" s="27"/>
      <c r="QZO86" s="27"/>
      <c r="QZP86" s="27"/>
      <c r="QZQ86" s="27"/>
      <c r="QZR86" s="27"/>
      <c r="QZS86" s="27"/>
      <c r="QZT86" s="27"/>
      <c r="QZU86" s="27"/>
      <c r="QZV86" s="27"/>
      <c r="QZW86" s="27"/>
      <c r="QZX86" s="27"/>
      <c r="QZY86" s="27"/>
      <c r="QZZ86" s="27"/>
      <c r="RAA86" s="27"/>
      <c r="RAB86" s="27"/>
      <c r="RAC86" s="27"/>
      <c r="RAD86" s="27"/>
      <c r="RAE86" s="27"/>
      <c r="RAF86" s="27"/>
      <c r="RAG86" s="27"/>
      <c r="RAH86" s="27"/>
      <c r="RAI86" s="27"/>
      <c r="RAJ86" s="27"/>
      <c r="RAK86" s="27"/>
      <c r="RAL86" s="27"/>
      <c r="RAM86" s="27"/>
      <c r="RAN86" s="27"/>
      <c r="RAO86" s="27"/>
      <c r="RAP86" s="27"/>
      <c r="RAQ86" s="27"/>
      <c r="RAR86" s="27"/>
      <c r="RAS86" s="27"/>
      <c r="RAT86" s="27"/>
      <c r="RAU86" s="27"/>
      <c r="RAV86" s="27"/>
      <c r="RAW86" s="27"/>
      <c r="RAX86" s="27"/>
      <c r="RAY86" s="27"/>
      <c r="RAZ86" s="27"/>
      <c r="RBA86" s="27"/>
      <c r="RBB86" s="27"/>
      <c r="RBC86" s="27"/>
      <c r="RBD86" s="27"/>
      <c r="RBE86" s="27"/>
      <c r="RBF86" s="27"/>
      <c r="RBG86" s="27"/>
      <c r="RBH86" s="27"/>
      <c r="RBI86" s="27"/>
      <c r="RBJ86" s="27"/>
      <c r="RBK86" s="27"/>
      <c r="RBL86" s="27"/>
      <c r="RBM86" s="27"/>
      <c r="RBN86" s="27"/>
      <c r="RBO86" s="27"/>
      <c r="RBP86" s="27"/>
      <c r="RBQ86" s="27"/>
      <c r="RBR86" s="27"/>
      <c r="RBS86" s="27"/>
      <c r="RBT86" s="27"/>
      <c r="RBU86" s="27"/>
      <c r="RBV86" s="27"/>
      <c r="RBW86" s="27"/>
      <c r="RBX86" s="27"/>
      <c r="RBY86" s="27"/>
      <c r="RBZ86" s="27"/>
      <c r="RCA86" s="27"/>
      <c r="RCB86" s="27"/>
      <c r="RCC86" s="27"/>
      <c r="RCD86" s="27"/>
      <c r="RCE86" s="27"/>
      <c r="RCF86" s="27"/>
      <c r="RCG86" s="27"/>
      <c r="RCH86" s="27"/>
      <c r="RCI86" s="27"/>
      <c r="RCJ86" s="27"/>
      <c r="RCK86" s="27"/>
      <c r="RCL86" s="27"/>
      <c r="RCM86" s="27"/>
      <c r="RCN86" s="27"/>
      <c r="RCO86" s="27"/>
      <c r="RCP86" s="27"/>
      <c r="RCQ86" s="27"/>
      <c r="RCR86" s="27"/>
      <c r="RCS86" s="27"/>
      <c r="RCT86" s="27"/>
      <c r="RCU86" s="27"/>
      <c r="RCV86" s="27"/>
      <c r="RCW86" s="27"/>
      <c r="RCX86" s="27"/>
      <c r="RCY86" s="27"/>
      <c r="RCZ86" s="27"/>
      <c r="RDA86" s="27"/>
      <c r="RDB86" s="27"/>
      <c r="RDC86" s="27"/>
      <c r="RDD86" s="27"/>
      <c r="RDE86" s="27"/>
      <c r="RDF86" s="27"/>
      <c r="RDG86" s="27"/>
      <c r="RDH86" s="27"/>
      <c r="RDI86" s="27"/>
      <c r="RDJ86" s="27"/>
      <c r="RDK86" s="27"/>
      <c r="RDL86" s="27"/>
      <c r="RDM86" s="27"/>
      <c r="RDN86" s="27"/>
      <c r="RDO86" s="27"/>
      <c r="RDP86" s="27"/>
      <c r="RDQ86" s="27"/>
      <c r="RDR86" s="27"/>
      <c r="RDS86" s="27"/>
      <c r="RDT86" s="27"/>
      <c r="RDU86" s="27"/>
      <c r="RDV86" s="27"/>
      <c r="RDW86" s="27"/>
      <c r="RDX86" s="27"/>
      <c r="RDY86" s="27"/>
      <c r="RDZ86" s="27"/>
      <c r="REA86" s="27"/>
      <c r="REB86" s="27"/>
      <c r="REC86" s="27"/>
      <c r="RED86" s="27"/>
      <c r="REE86" s="27"/>
      <c r="REF86" s="27"/>
      <c r="REG86" s="27"/>
      <c r="REH86" s="27"/>
      <c r="REI86" s="27"/>
      <c r="REJ86" s="27"/>
      <c r="REK86" s="27"/>
      <c r="REL86" s="27"/>
      <c r="REM86" s="27"/>
      <c r="REN86" s="27"/>
      <c r="REO86" s="27"/>
      <c r="REP86" s="27"/>
      <c r="REQ86" s="27"/>
      <c r="RER86" s="27"/>
      <c r="RES86" s="27"/>
      <c r="RET86" s="27"/>
      <c r="REU86" s="27"/>
      <c r="REV86" s="27"/>
      <c r="REW86" s="27"/>
      <c r="REX86" s="27"/>
      <c r="REY86" s="27"/>
      <c r="REZ86" s="27"/>
      <c r="RFA86" s="27"/>
      <c r="RFB86" s="27"/>
      <c r="RFC86" s="27"/>
      <c r="RFD86" s="27"/>
      <c r="RFE86" s="27"/>
      <c r="RFF86" s="27"/>
      <c r="RFG86" s="27"/>
      <c r="RFH86" s="27"/>
      <c r="RFI86" s="27"/>
      <c r="RFJ86" s="27"/>
      <c r="RFK86" s="27"/>
      <c r="RFL86" s="27"/>
      <c r="RFM86" s="27"/>
      <c r="RFN86" s="27"/>
      <c r="RFO86" s="27"/>
      <c r="RFP86" s="27"/>
      <c r="RFQ86" s="27"/>
      <c r="RFR86" s="27"/>
      <c r="RFS86" s="27"/>
      <c r="RFT86" s="27"/>
      <c r="RFU86" s="27"/>
      <c r="RFV86" s="27"/>
      <c r="RFW86" s="27"/>
      <c r="RFX86" s="27"/>
      <c r="RFY86" s="27"/>
      <c r="RFZ86" s="27"/>
      <c r="RGA86" s="27"/>
      <c r="RGB86" s="27"/>
      <c r="RGC86" s="27"/>
      <c r="RGD86" s="27"/>
      <c r="RGE86" s="27"/>
      <c r="RGF86" s="27"/>
      <c r="RGG86" s="27"/>
      <c r="RGH86" s="27"/>
      <c r="RGI86" s="27"/>
      <c r="RGJ86" s="27"/>
      <c r="RGK86" s="27"/>
      <c r="RGL86" s="27"/>
      <c r="RGM86" s="27"/>
      <c r="RGN86" s="27"/>
      <c r="RGO86" s="27"/>
      <c r="RGP86" s="27"/>
      <c r="RGQ86" s="27"/>
      <c r="RGR86" s="27"/>
      <c r="RGS86" s="27"/>
      <c r="RGT86" s="27"/>
      <c r="RGU86" s="27"/>
      <c r="RGV86" s="27"/>
      <c r="RGW86" s="27"/>
      <c r="RGX86" s="27"/>
      <c r="RGY86" s="27"/>
      <c r="RGZ86" s="27"/>
      <c r="RHA86" s="27"/>
      <c r="RHB86" s="27"/>
      <c r="RHC86" s="27"/>
      <c r="RHD86" s="27"/>
      <c r="RHE86" s="27"/>
      <c r="RHF86" s="27"/>
      <c r="RHG86" s="27"/>
      <c r="RHH86" s="27"/>
      <c r="RHI86" s="27"/>
      <c r="RHJ86" s="27"/>
      <c r="RHK86" s="27"/>
      <c r="RHL86" s="27"/>
      <c r="RHM86" s="27"/>
      <c r="RHN86" s="27"/>
      <c r="RHO86" s="27"/>
      <c r="RHP86" s="27"/>
      <c r="RHQ86" s="27"/>
      <c r="RHR86" s="27"/>
      <c r="RHS86" s="27"/>
      <c r="RHT86" s="27"/>
      <c r="RHU86" s="27"/>
      <c r="RHV86" s="27"/>
      <c r="RHW86" s="27"/>
      <c r="RHX86" s="27"/>
      <c r="RHY86" s="27"/>
      <c r="RHZ86" s="27"/>
      <c r="RIA86" s="27"/>
      <c r="RIB86" s="27"/>
      <c r="RIC86" s="27"/>
      <c r="RID86" s="27"/>
      <c r="RIE86" s="27"/>
      <c r="RIF86" s="27"/>
      <c r="RIG86" s="27"/>
      <c r="RIH86" s="27"/>
      <c r="RII86" s="27"/>
      <c r="RIJ86" s="27"/>
      <c r="RIK86" s="27"/>
      <c r="RIL86" s="27"/>
      <c r="RIM86" s="27"/>
      <c r="RIN86" s="27"/>
      <c r="RIO86" s="27"/>
      <c r="RIP86" s="27"/>
      <c r="RIQ86" s="27"/>
      <c r="RIR86" s="27"/>
      <c r="RIS86" s="27"/>
      <c r="RIT86" s="27"/>
      <c r="RIU86" s="27"/>
      <c r="RIV86" s="27"/>
      <c r="RIW86" s="27"/>
      <c r="RIX86" s="27"/>
      <c r="RIY86" s="27"/>
      <c r="RIZ86" s="27"/>
      <c r="RJA86" s="27"/>
      <c r="RJB86" s="27"/>
      <c r="RJC86" s="27"/>
      <c r="RJD86" s="27"/>
      <c r="RJE86" s="27"/>
      <c r="RJF86" s="27"/>
      <c r="RJG86" s="27"/>
      <c r="RJH86" s="27"/>
      <c r="RJI86" s="27"/>
      <c r="RJJ86" s="27"/>
      <c r="RJK86" s="27"/>
      <c r="RJL86" s="27"/>
      <c r="RJM86" s="27"/>
      <c r="RJN86" s="27"/>
      <c r="RJO86" s="27"/>
      <c r="RJP86" s="27"/>
      <c r="RJQ86" s="27"/>
      <c r="RJR86" s="27"/>
      <c r="RJS86" s="27"/>
      <c r="RJT86" s="27"/>
      <c r="RJU86" s="27"/>
      <c r="RJV86" s="27"/>
      <c r="RJW86" s="27"/>
      <c r="RJX86" s="27"/>
      <c r="RJY86" s="27"/>
      <c r="RJZ86" s="27"/>
      <c r="RKA86" s="27"/>
      <c r="RKB86" s="27"/>
      <c r="RKC86" s="27"/>
      <c r="RKD86" s="27"/>
      <c r="RKE86" s="27"/>
      <c r="RKF86" s="27"/>
      <c r="RKG86" s="27"/>
      <c r="RKH86" s="27"/>
      <c r="RKI86" s="27"/>
      <c r="RKJ86" s="27"/>
      <c r="RKK86" s="27"/>
      <c r="RKL86" s="27"/>
      <c r="RKM86" s="27"/>
      <c r="RKN86" s="27"/>
      <c r="RKO86" s="27"/>
      <c r="RKP86" s="27"/>
      <c r="RKQ86" s="27"/>
      <c r="RKR86" s="27"/>
      <c r="RKS86" s="27"/>
      <c r="RKT86" s="27"/>
      <c r="RKU86" s="27"/>
      <c r="RKV86" s="27"/>
      <c r="RKW86" s="27"/>
      <c r="RKX86" s="27"/>
      <c r="RKY86" s="27"/>
      <c r="RKZ86" s="27"/>
      <c r="RLA86" s="27"/>
      <c r="RLB86" s="27"/>
      <c r="RLC86" s="27"/>
      <c r="RLD86" s="27"/>
      <c r="RLE86" s="27"/>
      <c r="RLF86" s="27"/>
      <c r="RLG86" s="27"/>
      <c r="RLH86" s="27"/>
      <c r="RLI86" s="27"/>
      <c r="RLJ86" s="27"/>
      <c r="RLK86" s="27"/>
      <c r="RLL86" s="27"/>
      <c r="RLM86" s="27"/>
      <c r="RLN86" s="27"/>
      <c r="RLO86" s="27"/>
      <c r="RLP86" s="27"/>
      <c r="RLQ86" s="27"/>
      <c r="RLR86" s="27"/>
      <c r="RLS86" s="27"/>
      <c r="RLT86" s="27"/>
      <c r="RLU86" s="27"/>
      <c r="RLV86" s="27"/>
      <c r="RLW86" s="27"/>
      <c r="RLX86" s="27"/>
      <c r="RLY86" s="27"/>
      <c r="RLZ86" s="27"/>
      <c r="RMA86" s="27"/>
      <c r="RMB86" s="27"/>
      <c r="RMC86" s="27"/>
      <c r="RMD86" s="27"/>
      <c r="RME86" s="27"/>
      <c r="RMF86" s="27"/>
      <c r="RMG86" s="27"/>
      <c r="RMH86" s="27"/>
      <c r="RMI86" s="27"/>
      <c r="RMJ86" s="27"/>
      <c r="RMK86" s="27"/>
      <c r="RML86" s="27"/>
      <c r="RMM86" s="27"/>
      <c r="RMN86" s="27"/>
      <c r="RMO86" s="27"/>
      <c r="RMP86" s="27"/>
      <c r="RMQ86" s="27"/>
      <c r="RMR86" s="27"/>
      <c r="RMS86" s="27"/>
      <c r="RMT86" s="27"/>
      <c r="RMU86" s="27"/>
      <c r="RMV86" s="27"/>
      <c r="RMW86" s="27"/>
      <c r="RMX86" s="27"/>
      <c r="RMY86" s="27"/>
      <c r="RMZ86" s="27"/>
      <c r="RNA86" s="27"/>
      <c r="RNB86" s="27"/>
      <c r="RNC86" s="27"/>
      <c r="RND86" s="27"/>
      <c r="RNE86" s="27"/>
      <c r="RNF86" s="27"/>
      <c r="RNG86" s="27"/>
      <c r="RNH86" s="27"/>
      <c r="RNI86" s="27"/>
      <c r="RNJ86" s="27"/>
      <c r="RNK86" s="27"/>
      <c r="RNL86" s="27"/>
      <c r="RNM86" s="27"/>
      <c r="RNN86" s="27"/>
      <c r="RNO86" s="27"/>
      <c r="RNP86" s="27"/>
      <c r="RNQ86" s="27"/>
      <c r="RNR86" s="27"/>
      <c r="RNS86" s="27"/>
      <c r="RNT86" s="27"/>
      <c r="RNU86" s="27"/>
      <c r="RNV86" s="27"/>
      <c r="RNW86" s="27"/>
      <c r="RNX86" s="27"/>
      <c r="RNY86" s="27"/>
      <c r="RNZ86" s="27"/>
      <c r="ROA86" s="27"/>
      <c r="ROB86" s="27"/>
      <c r="ROC86" s="27"/>
      <c r="ROD86" s="27"/>
      <c r="ROE86" s="27"/>
      <c r="ROF86" s="27"/>
      <c r="ROG86" s="27"/>
      <c r="ROH86" s="27"/>
      <c r="ROI86" s="27"/>
      <c r="ROJ86" s="27"/>
      <c r="ROK86" s="27"/>
      <c r="ROL86" s="27"/>
      <c r="ROM86" s="27"/>
      <c r="RON86" s="27"/>
      <c r="ROO86" s="27"/>
      <c r="ROP86" s="27"/>
      <c r="ROQ86" s="27"/>
      <c r="ROR86" s="27"/>
      <c r="ROS86" s="27"/>
      <c r="ROT86" s="27"/>
      <c r="ROU86" s="27"/>
      <c r="ROV86" s="27"/>
      <c r="ROW86" s="27"/>
      <c r="ROX86" s="27"/>
      <c r="ROY86" s="27"/>
      <c r="ROZ86" s="27"/>
      <c r="RPA86" s="27"/>
      <c r="RPB86" s="27"/>
      <c r="RPC86" s="27"/>
      <c r="RPD86" s="27"/>
      <c r="RPE86" s="27"/>
      <c r="RPF86" s="27"/>
      <c r="RPG86" s="27"/>
      <c r="RPH86" s="27"/>
      <c r="RPI86" s="27"/>
      <c r="RPJ86" s="27"/>
      <c r="RPK86" s="27"/>
      <c r="RPL86" s="27"/>
      <c r="RPM86" s="27"/>
      <c r="RPN86" s="27"/>
      <c r="RPO86" s="27"/>
      <c r="RPP86" s="27"/>
      <c r="RPQ86" s="27"/>
      <c r="RPR86" s="27"/>
      <c r="RPS86" s="27"/>
      <c r="RPT86" s="27"/>
      <c r="RPU86" s="27"/>
      <c r="RPV86" s="27"/>
      <c r="RPW86" s="27"/>
      <c r="RPX86" s="27"/>
      <c r="RPY86" s="27"/>
      <c r="RPZ86" s="27"/>
      <c r="RQA86" s="27"/>
      <c r="RQB86" s="27"/>
      <c r="RQC86" s="27"/>
      <c r="RQD86" s="27"/>
      <c r="RQE86" s="27"/>
      <c r="RQF86" s="27"/>
      <c r="RQG86" s="27"/>
      <c r="RQH86" s="27"/>
      <c r="RQI86" s="27"/>
      <c r="RQJ86" s="27"/>
      <c r="RQK86" s="27"/>
      <c r="RQL86" s="27"/>
      <c r="RQM86" s="27"/>
      <c r="RQN86" s="27"/>
      <c r="RQO86" s="27"/>
      <c r="RQP86" s="27"/>
      <c r="RQQ86" s="27"/>
      <c r="RQR86" s="27"/>
      <c r="RQS86" s="27"/>
      <c r="RQT86" s="27"/>
      <c r="RQU86" s="27"/>
      <c r="RQV86" s="27"/>
      <c r="RQW86" s="27"/>
      <c r="RQX86" s="27"/>
      <c r="RQY86" s="27"/>
      <c r="RQZ86" s="27"/>
      <c r="RRA86" s="27"/>
      <c r="RRB86" s="27"/>
      <c r="RRC86" s="27"/>
      <c r="RRD86" s="27"/>
      <c r="RRE86" s="27"/>
      <c r="RRF86" s="27"/>
      <c r="RRG86" s="27"/>
      <c r="RRH86" s="27"/>
      <c r="RRI86" s="27"/>
      <c r="RRJ86" s="27"/>
      <c r="RRK86" s="27"/>
      <c r="RRL86" s="27"/>
      <c r="RRM86" s="27"/>
      <c r="RRN86" s="27"/>
      <c r="RRO86" s="27"/>
      <c r="RRP86" s="27"/>
      <c r="RRQ86" s="27"/>
      <c r="RRR86" s="27"/>
      <c r="RRS86" s="27"/>
      <c r="RRT86" s="27"/>
      <c r="RRU86" s="27"/>
      <c r="RRV86" s="27"/>
      <c r="RRW86" s="27"/>
      <c r="RRX86" s="27"/>
      <c r="RRY86" s="27"/>
      <c r="RRZ86" s="27"/>
      <c r="RSA86" s="27"/>
      <c r="RSB86" s="27"/>
      <c r="RSC86" s="27"/>
      <c r="RSD86" s="27"/>
      <c r="RSE86" s="27"/>
      <c r="RSF86" s="27"/>
      <c r="RSG86" s="27"/>
      <c r="RSH86" s="27"/>
      <c r="RSI86" s="27"/>
      <c r="RSJ86" s="27"/>
      <c r="RSK86" s="27"/>
      <c r="RSL86" s="27"/>
      <c r="RSM86" s="27"/>
      <c r="RSN86" s="27"/>
      <c r="RSO86" s="27"/>
      <c r="RSP86" s="27"/>
      <c r="RSQ86" s="27"/>
      <c r="RSR86" s="27"/>
      <c r="RSS86" s="27"/>
      <c r="RST86" s="27"/>
      <c r="RSU86" s="27"/>
      <c r="RSV86" s="27"/>
      <c r="RSW86" s="27"/>
      <c r="RSX86" s="27"/>
      <c r="RSY86" s="27"/>
      <c r="RSZ86" s="27"/>
      <c r="RTA86" s="27"/>
      <c r="RTB86" s="27"/>
      <c r="RTC86" s="27"/>
      <c r="RTD86" s="27"/>
      <c r="RTE86" s="27"/>
      <c r="RTF86" s="27"/>
      <c r="RTG86" s="27"/>
      <c r="RTH86" s="27"/>
      <c r="RTI86" s="27"/>
      <c r="RTJ86" s="27"/>
      <c r="RTK86" s="27"/>
      <c r="RTL86" s="27"/>
      <c r="RTM86" s="27"/>
      <c r="RTN86" s="27"/>
      <c r="RTO86" s="27"/>
      <c r="RTP86" s="27"/>
      <c r="RTQ86" s="27"/>
      <c r="RTR86" s="27"/>
      <c r="RTS86" s="27"/>
      <c r="RTT86" s="27"/>
      <c r="RTU86" s="27"/>
      <c r="RTV86" s="27"/>
      <c r="RTW86" s="27"/>
      <c r="RTX86" s="27"/>
      <c r="RTY86" s="27"/>
      <c r="RTZ86" s="27"/>
      <c r="RUA86" s="27"/>
      <c r="RUB86" s="27"/>
      <c r="RUC86" s="27"/>
      <c r="RUD86" s="27"/>
      <c r="RUE86" s="27"/>
      <c r="RUF86" s="27"/>
      <c r="RUG86" s="27"/>
      <c r="RUH86" s="27"/>
      <c r="RUI86" s="27"/>
      <c r="RUJ86" s="27"/>
      <c r="RUK86" s="27"/>
      <c r="RUL86" s="27"/>
      <c r="RUM86" s="27"/>
      <c r="RUN86" s="27"/>
      <c r="RUO86" s="27"/>
      <c r="RUP86" s="27"/>
      <c r="RUQ86" s="27"/>
      <c r="RUR86" s="27"/>
      <c r="RUS86" s="27"/>
      <c r="RUT86" s="27"/>
      <c r="RUU86" s="27"/>
      <c r="RUV86" s="27"/>
      <c r="RUW86" s="27"/>
      <c r="RUX86" s="27"/>
      <c r="RUY86" s="27"/>
      <c r="RUZ86" s="27"/>
      <c r="RVA86" s="27"/>
      <c r="RVB86" s="27"/>
      <c r="RVC86" s="27"/>
      <c r="RVD86" s="27"/>
      <c r="RVE86" s="27"/>
      <c r="RVF86" s="27"/>
      <c r="RVG86" s="27"/>
      <c r="RVH86" s="27"/>
      <c r="RVI86" s="27"/>
      <c r="RVJ86" s="27"/>
      <c r="RVK86" s="27"/>
      <c r="RVL86" s="27"/>
      <c r="RVM86" s="27"/>
      <c r="RVN86" s="27"/>
      <c r="RVO86" s="27"/>
      <c r="RVP86" s="27"/>
      <c r="RVQ86" s="27"/>
      <c r="RVR86" s="27"/>
      <c r="RVS86" s="27"/>
      <c r="RVT86" s="27"/>
      <c r="RVU86" s="27"/>
      <c r="RVV86" s="27"/>
      <c r="RVW86" s="27"/>
      <c r="RVX86" s="27"/>
      <c r="RVY86" s="27"/>
      <c r="RVZ86" s="27"/>
      <c r="RWA86" s="27"/>
      <c r="RWB86" s="27"/>
      <c r="RWC86" s="27"/>
      <c r="RWD86" s="27"/>
      <c r="RWE86" s="27"/>
      <c r="RWF86" s="27"/>
      <c r="RWG86" s="27"/>
      <c r="RWH86" s="27"/>
      <c r="RWI86" s="27"/>
      <c r="RWJ86" s="27"/>
      <c r="RWK86" s="27"/>
      <c r="RWL86" s="27"/>
      <c r="RWM86" s="27"/>
      <c r="RWN86" s="27"/>
      <c r="RWO86" s="27"/>
      <c r="RWP86" s="27"/>
      <c r="RWQ86" s="27"/>
      <c r="RWR86" s="27"/>
      <c r="RWS86" s="27"/>
      <c r="RWT86" s="27"/>
      <c r="RWU86" s="27"/>
      <c r="RWV86" s="27"/>
      <c r="RWW86" s="27"/>
      <c r="RWX86" s="27"/>
      <c r="RWY86" s="27"/>
      <c r="RWZ86" s="27"/>
      <c r="RXA86" s="27"/>
      <c r="RXB86" s="27"/>
      <c r="RXC86" s="27"/>
      <c r="RXD86" s="27"/>
      <c r="RXE86" s="27"/>
      <c r="RXF86" s="27"/>
      <c r="RXG86" s="27"/>
      <c r="RXH86" s="27"/>
      <c r="RXI86" s="27"/>
      <c r="RXJ86" s="27"/>
      <c r="RXK86" s="27"/>
      <c r="RXL86" s="27"/>
      <c r="RXM86" s="27"/>
      <c r="RXN86" s="27"/>
      <c r="RXO86" s="27"/>
      <c r="RXP86" s="27"/>
      <c r="RXQ86" s="27"/>
      <c r="RXR86" s="27"/>
      <c r="RXS86" s="27"/>
      <c r="RXT86" s="27"/>
      <c r="RXU86" s="27"/>
      <c r="RXV86" s="27"/>
      <c r="RXW86" s="27"/>
      <c r="RXX86" s="27"/>
      <c r="RXY86" s="27"/>
      <c r="RXZ86" s="27"/>
      <c r="RYA86" s="27"/>
      <c r="RYB86" s="27"/>
      <c r="RYC86" s="27"/>
      <c r="RYD86" s="27"/>
      <c r="RYE86" s="27"/>
      <c r="RYF86" s="27"/>
      <c r="RYG86" s="27"/>
      <c r="RYH86" s="27"/>
      <c r="RYI86" s="27"/>
      <c r="RYJ86" s="27"/>
      <c r="RYK86" s="27"/>
      <c r="RYL86" s="27"/>
      <c r="RYM86" s="27"/>
      <c r="RYN86" s="27"/>
      <c r="RYO86" s="27"/>
      <c r="RYP86" s="27"/>
      <c r="RYQ86" s="27"/>
      <c r="RYR86" s="27"/>
      <c r="RYS86" s="27"/>
      <c r="RYT86" s="27"/>
      <c r="RYU86" s="27"/>
      <c r="RYV86" s="27"/>
      <c r="RYW86" s="27"/>
      <c r="RYX86" s="27"/>
      <c r="RYY86" s="27"/>
      <c r="RYZ86" s="27"/>
      <c r="RZA86" s="27"/>
      <c r="RZB86" s="27"/>
      <c r="RZC86" s="27"/>
      <c r="RZD86" s="27"/>
      <c r="RZE86" s="27"/>
      <c r="RZF86" s="27"/>
      <c r="RZG86" s="27"/>
      <c r="RZH86" s="27"/>
      <c r="RZI86" s="27"/>
      <c r="RZJ86" s="27"/>
      <c r="RZK86" s="27"/>
      <c r="RZL86" s="27"/>
      <c r="RZM86" s="27"/>
      <c r="RZN86" s="27"/>
      <c r="RZO86" s="27"/>
      <c r="RZP86" s="27"/>
      <c r="RZQ86" s="27"/>
      <c r="RZR86" s="27"/>
      <c r="RZS86" s="27"/>
      <c r="RZT86" s="27"/>
      <c r="RZU86" s="27"/>
      <c r="RZV86" s="27"/>
      <c r="RZW86" s="27"/>
      <c r="RZX86" s="27"/>
      <c r="RZY86" s="27"/>
      <c r="RZZ86" s="27"/>
      <c r="SAA86" s="27"/>
      <c r="SAB86" s="27"/>
      <c r="SAC86" s="27"/>
      <c r="SAD86" s="27"/>
      <c r="SAE86" s="27"/>
      <c r="SAF86" s="27"/>
      <c r="SAG86" s="27"/>
      <c r="SAH86" s="27"/>
      <c r="SAI86" s="27"/>
      <c r="SAJ86" s="27"/>
      <c r="SAK86" s="27"/>
      <c r="SAL86" s="27"/>
      <c r="SAM86" s="27"/>
      <c r="SAN86" s="27"/>
      <c r="SAO86" s="27"/>
      <c r="SAP86" s="27"/>
      <c r="SAQ86" s="27"/>
      <c r="SAR86" s="27"/>
      <c r="SAS86" s="27"/>
      <c r="SAT86" s="27"/>
      <c r="SAU86" s="27"/>
      <c r="SAV86" s="27"/>
      <c r="SAW86" s="27"/>
      <c r="SAX86" s="27"/>
      <c r="SAY86" s="27"/>
      <c r="SAZ86" s="27"/>
      <c r="SBA86" s="27"/>
      <c r="SBB86" s="27"/>
      <c r="SBC86" s="27"/>
      <c r="SBD86" s="27"/>
      <c r="SBE86" s="27"/>
      <c r="SBF86" s="27"/>
      <c r="SBG86" s="27"/>
      <c r="SBH86" s="27"/>
      <c r="SBI86" s="27"/>
      <c r="SBJ86" s="27"/>
      <c r="SBK86" s="27"/>
      <c r="SBL86" s="27"/>
      <c r="SBM86" s="27"/>
      <c r="SBN86" s="27"/>
      <c r="SBO86" s="27"/>
      <c r="SBP86" s="27"/>
      <c r="SBQ86" s="27"/>
      <c r="SBR86" s="27"/>
      <c r="SBS86" s="27"/>
      <c r="SBT86" s="27"/>
      <c r="SBU86" s="27"/>
      <c r="SBV86" s="27"/>
      <c r="SBW86" s="27"/>
      <c r="SBX86" s="27"/>
      <c r="SBY86" s="27"/>
      <c r="SBZ86" s="27"/>
      <c r="SCA86" s="27"/>
      <c r="SCB86" s="27"/>
      <c r="SCC86" s="27"/>
      <c r="SCD86" s="27"/>
      <c r="SCE86" s="27"/>
      <c r="SCF86" s="27"/>
      <c r="SCG86" s="27"/>
      <c r="SCH86" s="27"/>
      <c r="SCI86" s="27"/>
      <c r="SCJ86" s="27"/>
      <c r="SCK86" s="27"/>
      <c r="SCL86" s="27"/>
      <c r="SCM86" s="27"/>
      <c r="SCN86" s="27"/>
      <c r="SCO86" s="27"/>
      <c r="SCP86" s="27"/>
      <c r="SCQ86" s="27"/>
      <c r="SCR86" s="27"/>
      <c r="SCS86" s="27"/>
      <c r="SCT86" s="27"/>
      <c r="SCU86" s="27"/>
      <c r="SCV86" s="27"/>
      <c r="SCW86" s="27"/>
      <c r="SCX86" s="27"/>
      <c r="SCY86" s="27"/>
      <c r="SCZ86" s="27"/>
      <c r="SDA86" s="27"/>
      <c r="SDB86" s="27"/>
      <c r="SDC86" s="27"/>
      <c r="SDD86" s="27"/>
      <c r="SDE86" s="27"/>
      <c r="SDF86" s="27"/>
      <c r="SDG86" s="27"/>
      <c r="SDH86" s="27"/>
      <c r="SDI86" s="27"/>
      <c r="SDJ86" s="27"/>
      <c r="SDK86" s="27"/>
      <c r="SDL86" s="27"/>
      <c r="SDM86" s="27"/>
      <c r="SDN86" s="27"/>
      <c r="SDO86" s="27"/>
      <c r="SDP86" s="27"/>
      <c r="SDQ86" s="27"/>
      <c r="SDR86" s="27"/>
      <c r="SDS86" s="27"/>
      <c r="SDT86" s="27"/>
      <c r="SDU86" s="27"/>
      <c r="SDV86" s="27"/>
      <c r="SDW86" s="27"/>
      <c r="SDX86" s="27"/>
      <c r="SDY86" s="27"/>
      <c r="SDZ86" s="27"/>
      <c r="SEA86" s="27"/>
      <c r="SEB86" s="27"/>
      <c r="SEC86" s="27"/>
      <c r="SED86" s="27"/>
      <c r="SEE86" s="27"/>
      <c r="SEF86" s="27"/>
      <c r="SEG86" s="27"/>
      <c r="SEH86" s="27"/>
      <c r="SEI86" s="27"/>
      <c r="SEJ86" s="27"/>
      <c r="SEK86" s="27"/>
      <c r="SEL86" s="27"/>
      <c r="SEM86" s="27"/>
      <c r="SEN86" s="27"/>
      <c r="SEO86" s="27"/>
      <c r="SEP86" s="27"/>
      <c r="SEQ86" s="27"/>
      <c r="SER86" s="27"/>
      <c r="SES86" s="27"/>
      <c r="SET86" s="27"/>
      <c r="SEU86" s="27"/>
      <c r="SEV86" s="27"/>
      <c r="SEW86" s="27"/>
      <c r="SEX86" s="27"/>
      <c r="SEY86" s="27"/>
      <c r="SEZ86" s="27"/>
      <c r="SFA86" s="27"/>
      <c r="SFB86" s="27"/>
      <c r="SFC86" s="27"/>
      <c r="SFD86" s="27"/>
      <c r="SFE86" s="27"/>
      <c r="SFF86" s="27"/>
      <c r="SFG86" s="27"/>
      <c r="SFH86" s="27"/>
      <c r="SFI86" s="27"/>
      <c r="SFJ86" s="27"/>
      <c r="SFK86" s="27"/>
      <c r="SFL86" s="27"/>
      <c r="SFM86" s="27"/>
      <c r="SFN86" s="27"/>
      <c r="SFO86" s="27"/>
      <c r="SFP86" s="27"/>
      <c r="SFQ86" s="27"/>
      <c r="SFR86" s="27"/>
      <c r="SFS86" s="27"/>
      <c r="SFT86" s="27"/>
      <c r="SFU86" s="27"/>
      <c r="SFV86" s="27"/>
      <c r="SFW86" s="27"/>
      <c r="SFX86" s="27"/>
      <c r="SFY86" s="27"/>
      <c r="SFZ86" s="27"/>
      <c r="SGA86" s="27"/>
      <c r="SGB86" s="27"/>
      <c r="SGC86" s="27"/>
      <c r="SGD86" s="27"/>
      <c r="SGE86" s="27"/>
      <c r="SGF86" s="27"/>
      <c r="SGG86" s="27"/>
      <c r="SGH86" s="27"/>
      <c r="SGI86" s="27"/>
      <c r="SGJ86" s="27"/>
      <c r="SGK86" s="27"/>
      <c r="SGL86" s="27"/>
      <c r="SGM86" s="27"/>
      <c r="SGN86" s="27"/>
      <c r="SGO86" s="27"/>
      <c r="SGP86" s="27"/>
      <c r="SGQ86" s="27"/>
      <c r="SGR86" s="27"/>
      <c r="SGS86" s="27"/>
      <c r="SGT86" s="27"/>
      <c r="SGU86" s="27"/>
      <c r="SGV86" s="27"/>
      <c r="SGW86" s="27"/>
      <c r="SGX86" s="27"/>
      <c r="SGY86" s="27"/>
      <c r="SGZ86" s="27"/>
      <c r="SHA86" s="27"/>
      <c r="SHB86" s="27"/>
      <c r="SHC86" s="27"/>
      <c r="SHD86" s="27"/>
      <c r="SHE86" s="27"/>
      <c r="SHF86" s="27"/>
      <c r="SHG86" s="27"/>
      <c r="SHH86" s="27"/>
      <c r="SHI86" s="27"/>
      <c r="SHJ86" s="27"/>
      <c r="SHK86" s="27"/>
      <c r="SHL86" s="27"/>
      <c r="SHM86" s="27"/>
      <c r="SHN86" s="27"/>
      <c r="SHO86" s="27"/>
      <c r="SHP86" s="27"/>
      <c r="SHQ86" s="27"/>
      <c r="SHR86" s="27"/>
      <c r="SHS86" s="27"/>
      <c r="SHT86" s="27"/>
      <c r="SHU86" s="27"/>
      <c r="SHV86" s="27"/>
      <c r="SHW86" s="27"/>
      <c r="SHX86" s="27"/>
      <c r="SHY86" s="27"/>
      <c r="SHZ86" s="27"/>
      <c r="SIA86" s="27"/>
      <c r="SIB86" s="27"/>
      <c r="SIC86" s="27"/>
      <c r="SID86" s="27"/>
      <c r="SIE86" s="27"/>
      <c r="SIF86" s="27"/>
      <c r="SIG86" s="27"/>
      <c r="SIH86" s="27"/>
      <c r="SII86" s="27"/>
      <c r="SIJ86" s="27"/>
      <c r="SIK86" s="27"/>
      <c r="SIL86" s="27"/>
      <c r="SIM86" s="27"/>
      <c r="SIN86" s="27"/>
      <c r="SIO86" s="27"/>
      <c r="SIP86" s="27"/>
      <c r="SIQ86" s="27"/>
      <c r="SIR86" s="27"/>
      <c r="SIS86" s="27"/>
      <c r="SIT86" s="27"/>
      <c r="SIU86" s="27"/>
      <c r="SIV86" s="27"/>
      <c r="SIW86" s="27"/>
      <c r="SIX86" s="27"/>
      <c r="SIY86" s="27"/>
      <c r="SIZ86" s="27"/>
      <c r="SJA86" s="27"/>
      <c r="SJB86" s="27"/>
      <c r="SJC86" s="27"/>
      <c r="SJD86" s="27"/>
      <c r="SJE86" s="27"/>
      <c r="SJF86" s="27"/>
      <c r="SJG86" s="27"/>
      <c r="SJH86" s="27"/>
      <c r="SJI86" s="27"/>
      <c r="SJJ86" s="27"/>
      <c r="SJK86" s="27"/>
      <c r="SJL86" s="27"/>
      <c r="SJM86" s="27"/>
      <c r="SJN86" s="27"/>
      <c r="SJO86" s="27"/>
      <c r="SJP86" s="27"/>
      <c r="SJQ86" s="27"/>
      <c r="SJR86" s="27"/>
      <c r="SJS86" s="27"/>
      <c r="SJT86" s="27"/>
      <c r="SJU86" s="27"/>
      <c r="SJV86" s="27"/>
      <c r="SJW86" s="27"/>
      <c r="SJX86" s="27"/>
      <c r="SJY86" s="27"/>
      <c r="SJZ86" s="27"/>
      <c r="SKA86" s="27"/>
      <c r="SKB86" s="27"/>
      <c r="SKC86" s="27"/>
      <c r="SKD86" s="27"/>
      <c r="SKE86" s="27"/>
      <c r="SKF86" s="27"/>
      <c r="SKG86" s="27"/>
      <c r="SKH86" s="27"/>
      <c r="SKI86" s="27"/>
      <c r="SKJ86" s="27"/>
      <c r="SKK86" s="27"/>
      <c r="SKL86" s="27"/>
      <c r="SKM86" s="27"/>
      <c r="SKN86" s="27"/>
      <c r="SKO86" s="27"/>
      <c r="SKP86" s="27"/>
      <c r="SKQ86" s="27"/>
      <c r="SKR86" s="27"/>
      <c r="SKS86" s="27"/>
      <c r="SKT86" s="27"/>
      <c r="SKU86" s="27"/>
      <c r="SKV86" s="27"/>
      <c r="SKW86" s="27"/>
      <c r="SKX86" s="27"/>
      <c r="SKY86" s="27"/>
      <c r="SKZ86" s="27"/>
      <c r="SLA86" s="27"/>
      <c r="SLB86" s="27"/>
      <c r="SLC86" s="27"/>
      <c r="SLD86" s="27"/>
      <c r="SLE86" s="27"/>
      <c r="SLF86" s="27"/>
      <c r="SLG86" s="27"/>
      <c r="SLH86" s="27"/>
      <c r="SLI86" s="27"/>
      <c r="SLJ86" s="27"/>
      <c r="SLK86" s="27"/>
      <c r="SLL86" s="27"/>
      <c r="SLM86" s="27"/>
      <c r="SLN86" s="27"/>
      <c r="SLO86" s="27"/>
      <c r="SLP86" s="27"/>
      <c r="SLQ86" s="27"/>
      <c r="SLR86" s="27"/>
      <c r="SLS86" s="27"/>
      <c r="SLT86" s="27"/>
      <c r="SLU86" s="27"/>
      <c r="SLV86" s="27"/>
      <c r="SLW86" s="27"/>
      <c r="SLX86" s="27"/>
      <c r="SLY86" s="27"/>
      <c r="SLZ86" s="27"/>
      <c r="SMA86" s="27"/>
      <c r="SMB86" s="27"/>
      <c r="SMC86" s="27"/>
      <c r="SMD86" s="27"/>
      <c r="SME86" s="27"/>
      <c r="SMF86" s="27"/>
      <c r="SMG86" s="27"/>
      <c r="SMH86" s="27"/>
      <c r="SMI86" s="27"/>
      <c r="SMJ86" s="27"/>
      <c r="SMK86" s="27"/>
      <c r="SML86" s="27"/>
      <c r="SMM86" s="27"/>
      <c r="SMN86" s="27"/>
      <c r="SMO86" s="27"/>
      <c r="SMP86" s="27"/>
      <c r="SMQ86" s="27"/>
      <c r="SMR86" s="27"/>
      <c r="SMS86" s="27"/>
      <c r="SMT86" s="27"/>
      <c r="SMU86" s="27"/>
      <c r="SMV86" s="27"/>
      <c r="SMW86" s="27"/>
      <c r="SMX86" s="27"/>
      <c r="SMY86" s="27"/>
      <c r="SMZ86" s="27"/>
      <c r="SNA86" s="27"/>
      <c r="SNB86" s="27"/>
      <c r="SNC86" s="27"/>
      <c r="SND86" s="27"/>
      <c r="SNE86" s="27"/>
      <c r="SNF86" s="27"/>
      <c r="SNG86" s="27"/>
      <c r="SNH86" s="27"/>
      <c r="SNI86" s="27"/>
      <c r="SNJ86" s="27"/>
      <c r="SNK86" s="27"/>
      <c r="SNL86" s="27"/>
      <c r="SNM86" s="27"/>
      <c r="SNN86" s="27"/>
      <c r="SNO86" s="27"/>
      <c r="SNP86" s="27"/>
      <c r="SNQ86" s="27"/>
      <c r="SNR86" s="27"/>
      <c r="SNS86" s="27"/>
      <c r="SNT86" s="27"/>
      <c r="SNU86" s="27"/>
      <c r="SNV86" s="27"/>
      <c r="SNW86" s="27"/>
      <c r="SNX86" s="27"/>
      <c r="SNY86" s="27"/>
      <c r="SNZ86" s="27"/>
      <c r="SOA86" s="27"/>
      <c r="SOB86" s="27"/>
      <c r="SOC86" s="27"/>
      <c r="SOD86" s="27"/>
      <c r="SOE86" s="27"/>
      <c r="SOF86" s="27"/>
      <c r="SOG86" s="27"/>
      <c r="SOH86" s="27"/>
      <c r="SOI86" s="27"/>
      <c r="SOJ86" s="27"/>
      <c r="SOK86" s="27"/>
      <c r="SOL86" s="27"/>
      <c r="SOM86" s="27"/>
      <c r="SON86" s="27"/>
      <c r="SOO86" s="27"/>
      <c r="SOP86" s="27"/>
      <c r="SOQ86" s="27"/>
      <c r="SOR86" s="27"/>
      <c r="SOS86" s="27"/>
      <c r="SOT86" s="27"/>
      <c r="SOU86" s="27"/>
      <c r="SOV86" s="27"/>
      <c r="SOW86" s="27"/>
      <c r="SOX86" s="27"/>
      <c r="SOY86" s="27"/>
      <c r="SOZ86" s="27"/>
      <c r="SPA86" s="27"/>
      <c r="SPB86" s="27"/>
      <c r="SPC86" s="27"/>
      <c r="SPD86" s="27"/>
      <c r="SPE86" s="27"/>
      <c r="SPF86" s="27"/>
      <c r="SPG86" s="27"/>
      <c r="SPH86" s="27"/>
      <c r="SPI86" s="27"/>
      <c r="SPJ86" s="27"/>
      <c r="SPK86" s="27"/>
      <c r="SPL86" s="27"/>
      <c r="SPM86" s="27"/>
      <c r="SPN86" s="27"/>
      <c r="SPO86" s="27"/>
      <c r="SPP86" s="27"/>
      <c r="SPQ86" s="27"/>
      <c r="SPR86" s="27"/>
      <c r="SPS86" s="27"/>
      <c r="SPT86" s="27"/>
      <c r="SPU86" s="27"/>
      <c r="SPV86" s="27"/>
      <c r="SPW86" s="27"/>
      <c r="SPX86" s="27"/>
      <c r="SPY86" s="27"/>
      <c r="SPZ86" s="27"/>
      <c r="SQA86" s="27"/>
      <c r="SQB86" s="27"/>
      <c r="SQC86" s="27"/>
      <c r="SQD86" s="27"/>
      <c r="SQE86" s="27"/>
      <c r="SQF86" s="27"/>
      <c r="SQG86" s="27"/>
      <c r="SQH86" s="27"/>
      <c r="SQI86" s="27"/>
      <c r="SQJ86" s="27"/>
      <c r="SQK86" s="27"/>
      <c r="SQL86" s="27"/>
      <c r="SQM86" s="27"/>
      <c r="SQN86" s="27"/>
      <c r="SQO86" s="27"/>
      <c r="SQP86" s="27"/>
      <c r="SQQ86" s="27"/>
      <c r="SQR86" s="27"/>
      <c r="SQS86" s="27"/>
      <c r="SQT86" s="27"/>
      <c r="SQU86" s="27"/>
      <c r="SQV86" s="27"/>
      <c r="SQW86" s="27"/>
      <c r="SQX86" s="27"/>
      <c r="SQY86" s="27"/>
      <c r="SQZ86" s="27"/>
      <c r="SRA86" s="27"/>
      <c r="SRB86" s="27"/>
      <c r="SRC86" s="27"/>
      <c r="SRD86" s="27"/>
      <c r="SRE86" s="27"/>
      <c r="SRF86" s="27"/>
      <c r="SRG86" s="27"/>
      <c r="SRH86" s="27"/>
      <c r="SRI86" s="27"/>
      <c r="SRJ86" s="27"/>
      <c r="SRK86" s="27"/>
      <c r="SRL86" s="27"/>
      <c r="SRM86" s="27"/>
      <c r="SRN86" s="27"/>
      <c r="SRO86" s="27"/>
      <c r="SRP86" s="27"/>
      <c r="SRQ86" s="27"/>
      <c r="SRR86" s="27"/>
      <c r="SRS86" s="27"/>
      <c r="SRT86" s="27"/>
      <c r="SRU86" s="27"/>
      <c r="SRV86" s="27"/>
      <c r="SRW86" s="27"/>
      <c r="SRX86" s="27"/>
      <c r="SRY86" s="27"/>
      <c r="SRZ86" s="27"/>
      <c r="SSA86" s="27"/>
      <c r="SSB86" s="27"/>
      <c r="SSC86" s="27"/>
      <c r="SSD86" s="27"/>
      <c r="SSE86" s="27"/>
      <c r="SSF86" s="27"/>
      <c r="SSG86" s="27"/>
      <c r="SSH86" s="27"/>
      <c r="SSI86" s="27"/>
      <c r="SSJ86" s="27"/>
      <c r="SSK86" s="27"/>
      <c r="SSL86" s="27"/>
      <c r="SSM86" s="27"/>
      <c r="SSN86" s="27"/>
      <c r="SSO86" s="27"/>
      <c r="SSP86" s="27"/>
      <c r="SSQ86" s="27"/>
      <c r="SSR86" s="27"/>
      <c r="SSS86" s="27"/>
      <c r="SST86" s="27"/>
      <c r="SSU86" s="27"/>
      <c r="SSV86" s="27"/>
      <c r="SSW86" s="27"/>
      <c r="SSX86" s="27"/>
      <c r="SSY86" s="27"/>
      <c r="SSZ86" s="27"/>
      <c r="STA86" s="27"/>
      <c r="STB86" s="27"/>
      <c r="STC86" s="27"/>
      <c r="STD86" s="27"/>
      <c r="STE86" s="27"/>
      <c r="STF86" s="27"/>
      <c r="STG86" s="27"/>
      <c r="STH86" s="27"/>
      <c r="STI86" s="27"/>
      <c r="STJ86" s="27"/>
      <c r="STK86" s="27"/>
      <c r="STL86" s="27"/>
      <c r="STM86" s="27"/>
      <c r="STN86" s="27"/>
      <c r="STO86" s="27"/>
      <c r="STP86" s="27"/>
      <c r="STQ86" s="27"/>
      <c r="STR86" s="27"/>
      <c r="STS86" s="27"/>
      <c r="STT86" s="27"/>
      <c r="STU86" s="27"/>
      <c r="STV86" s="27"/>
      <c r="STW86" s="27"/>
      <c r="STX86" s="27"/>
      <c r="STY86" s="27"/>
      <c r="STZ86" s="27"/>
      <c r="SUA86" s="27"/>
      <c r="SUB86" s="27"/>
      <c r="SUC86" s="27"/>
      <c r="SUD86" s="27"/>
      <c r="SUE86" s="27"/>
      <c r="SUF86" s="27"/>
      <c r="SUG86" s="27"/>
      <c r="SUH86" s="27"/>
      <c r="SUI86" s="27"/>
      <c r="SUJ86" s="27"/>
      <c r="SUK86" s="27"/>
      <c r="SUL86" s="27"/>
      <c r="SUM86" s="27"/>
      <c r="SUN86" s="27"/>
      <c r="SUO86" s="27"/>
      <c r="SUP86" s="27"/>
      <c r="SUQ86" s="27"/>
      <c r="SUR86" s="27"/>
      <c r="SUS86" s="27"/>
      <c r="SUT86" s="27"/>
      <c r="SUU86" s="27"/>
      <c r="SUV86" s="27"/>
      <c r="SUW86" s="27"/>
      <c r="SUX86" s="27"/>
      <c r="SUY86" s="27"/>
      <c r="SUZ86" s="27"/>
      <c r="SVA86" s="27"/>
      <c r="SVB86" s="27"/>
      <c r="SVC86" s="27"/>
      <c r="SVD86" s="27"/>
      <c r="SVE86" s="27"/>
      <c r="SVF86" s="27"/>
      <c r="SVG86" s="27"/>
      <c r="SVH86" s="27"/>
      <c r="SVI86" s="27"/>
      <c r="SVJ86" s="27"/>
      <c r="SVK86" s="27"/>
      <c r="SVL86" s="27"/>
      <c r="SVM86" s="27"/>
      <c r="SVN86" s="27"/>
      <c r="SVO86" s="27"/>
      <c r="SVP86" s="27"/>
      <c r="SVQ86" s="27"/>
      <c r="SVR86" s="27"/>
      <c r="SVS86" s="27"/>
      <c r="SVT86" s="27"/>
      <c r="SVU86" s="27"/>
      <c r="SVV86" s="27"/>
      <c r="SVW86" s="27"/>
      <c r="SVX86" s="27"/>
      <c r="SVY86" s="27"/>
      <c r="SVZ86" s="27"/>
      <c r="SWA86" s="27"/>
      <c r="SWB86" s="27"/>
      <c r="SWC86" s="27"/>
      <c r="SWD86" s="27"/>
      <c r="SWE86" s="27"/>
      <c r="SWF86" s="27"/>
      <c r="SWG86" s="27"/>
      <c r="SWH86" s="27"/>
      <c r="SWI86" s="27"/>
      <c r="SWJ86" s="27"/>
      <c r="SWK86" s="27"/>
      <c r="SWL86" s="27"/>
      <c r="SWM86" s="27"/>
      <c r="SWN86" s="27"/>
      <c r="SWO86" s="27"/>
      <c r="SWP86" s="27"/>
      <c r="SWQ86" s="27"/>
      <c r="SWR86" s="27"/>
      <c r="SWS86" s="27"/>
      <c r="SWT86" s="27"/>
      <c r="SWU86" s="27"/>
      <c r="SWV86" s="27"/>
      <c r="SWW86" s="27"/>
      <c r="SWX86" s="27"/>
      <c r="SWY86" s="27"/>
      <c r="SWZ86" s="27"/>
      <c r="SXA86" s="27"/>
      <c r="SXB86" s="27"/>
      <c r="SXC86" s="27"/>
      <c r="SXD86" s="27"/>
      <c r="SXE86" s="27"/>
      <c r="SXF86" s="27"/>
      <c r="SXG86" s="27"/>
      <c r="SXH86" s="27"/>
      <c r="SXI86" s="27"/>
      <c r="SXJ86" s="27"/>
      <c r="SXK86" s="27"/>
      <c r="SXL86" s="27"/>
      <c r="SXM86" s="27"/>
      <c r="SXN86" s="27"/>
      <c r="SXO86" s="27"/>
      <c r="SXP86" s="27"/>
      <c r="SXQ86" s="27"/>
      <c r="SXR86" s="27"/>
      <c r="SXS86" s="27"/>
      <c r="SXT86" s="27"/>
      <c r="SXU86" s="27"/>
      <c r="SXV86" s="27"/>
      <c r="SXW86" s="27"/>
      <c r="SXX86" s="27"/>
      <c r="SXY86" s="27"/>
      <c r="SXZ86" s="27"/>
      <c r="SYA86" s="27"/>
      <c r="SYB86" s="27"/>
      <c r="SYC86" s="27"/>
      <c r="SYD86" s="27"/>
      <c r="SYE86" s="27"/>
      <c r="SYF86" s="27"/>
      <c r="SYG86" s="27"/>
      <c r="SYH86" s="27"/>
      <c r="SYI86" s="27"/>
      <c r="SYJ86" s="27"/>
      <c r="SYK86" s="27"/>
      <c r="SYL86" s="27"/>
      <c r="SYM86" s="27"/>
      <c r="SYN86" s="27"/>
      <c r="SYO86" s="27"/>
      <c r="SYP86" s="27"/>
      <c r="SYQ86" s="27"/>
      <c r="SYR86" s="27"/>
      <c r="SYS86" s="27"/>
      <c r="SYT86" s="27"/>
      <c r="SYU86" s="27"/>
      <c r="SYV86" s="27"/>
      <c r="SYW86" s="27"/>
      <c r="SYX86" s="27"/>
      <c r="SYY86" s="27"/>
      <c r="SYZ86" s="27"/>
      <c r="SZA86" s="27"/>
      <c r="SZB86" s="27"/>
      <c r="SZC86" s="27"/>
      <c r="SZD86" s="27"/>
      <c r="SZE86" s="27"/>
      <c r="SZF86" s="27"/>
      <c r="SZG86" s="27"/>
      <c r="SZH86" s="27"/>
      <c r="SZI86" s="27"/>
      <c r="SZJ86" s="27"/>
      <c r="SZK86" s="27"/>
      <c r="SZL86" s="27"/>
      <c r="SZM86" s="27"/>
      <c r="SZN86" s="27"/>
      <c r="SZO86" s="27"/>
      <c r="SZP86" s="27"/>
      <c r="SZQ86" s="27"/>
      <c r="SZR86" s="27"/>
      <c r="SZS86" s="27"/>
      <c r="SZT86" s="27"/>
      <c r="SZU86" s="27"/>
      <c r="SZV86" s="27"/>
      <c r="SZW86" s="27"/>
      <c r="SZX86" s="27"/>
      <c r="SZY86" s="27"/>
      <c r="SZZ86" s="27"/>
      <c r="TAA86" s="27"/>
      <c r="TAB86" s="27"/>
      <c r="TAC86" s="27"/>
      <c r="TAD86" s="27"/>
      <c r="TAE86" s="27"/>
      <c r="TAF86" s="27"/>
      <c r="TAG86" s="27"/>
      <c r="TAH86" s="27"/>
      <c r="TAI86" s="27"/>
      <c r="TAJ86" s="27"/>
      <c r="TAK86" s="27"/>
      <c r="TAL86" s="27"/>
      <c r="TAM86" s="27"/>
      <c r="TAN86" s="27"/>
      <c r="TAO86" s="27"/>
      <c r="TAP86" s="27"/>
      <c r="TAQ86" s="27"/>
      <c r="TAR86" s="27"/>
      <c r="TAS86" s="27"/>
      <c r="TAT86" s="27"/>
      <c r="TAU86" s="27"/>
      <c r="TAV86" s="27"/>
      <c r="TAW86" s="27"/>
      <c r="TAX86" s="27"/>
      <c r="TAY86" s="27"/>
      <c r="TAZ86" s="27"/>
      <c r="TBA86" s="27"/>
      <c r="TBB86" s="27"/>
      <c r="TBC86" s="27"/>
      <c r="TBD86" s="27"/>
      <c r="TBE86" s="27"/>
      <c r="TBF86" s="27"/>
      <c r="TBG86" s="27"/>
      <c r="TBH86" s="27"/>
      <c r="TBI86" s="27"/>
      <c r="TBJ86" s="27"/>
      <c r="TBK86" s="27"/>
      <c r="TBL86" s="27"/>
      <c r="TBM86" s="27"/>
      <c r="TBN86" s="27"/>
      <c r="TBO86" s="27"/>
      <c r="TBP86" s="27"/>
      <c r="TBQ86" s="27"/>
      <c r="TBR86" s="27"/>
      <c r="TBS86" s="27"/>
      <c r="TBT86" s="27"/>
      <c r="TBU86" s="27"/>
      <c r="TBV86" s="27"/>
      <c r="TBW86" s="27"/>
      <c r="TBX86" s="27"/>
      <c r="TBY86" s="27"/>
      <c r="TBZ86" s="27"/>
      <c r="TCA86" s="27"/>
      <c r="TCB86" s="27"/>
      <c r="TCC86" s="27"/>
      <c r="TCD86" s="27"/>
      <c r="TCE86" s="27"/>
      <c r="TCF86" s="27"/>
      <c r="TCG86" s="27"/>
      <c r="TCH86" s="27"/>
      <c r="TCI86" s="27"/>
      <c r="TCJ86" s="27"/>
      <c r="TCK86" s="27"/>
      <c r="TCL86" s="27"/>
      <c r="TCM86" s="27"/>
      <c r="TCN86" s="27"/>
      <c r="TCO86" s="27"/>
      <c r="TCP86" s="27"/>
      <c r="TCQ86" s="27"/>
      <c r="TCR86" s="27"/>
      <c r="TCS86" s="27"/>
      <c r="TCT86" s="27"/>
      <c r="TCU86" s="27"/>
      <c r="TCV86" s="27"/>
      <c r="TCW86" s="27"/>
      <c r="TCX86" s="27"/>
      <c r="TCY86" s="27"/>
      <c r="TCZ86" s="27"/>
      <c r="TDA86" s="27"/>
      <c r="TDB86" s="27"/>
      <c r="TDC86" s="27"/>
      <c r="TDD86" s="27"/>
      <c r="TDE86" s="27"/>
      <c r="TDF86" s="27"/>
      <c r="TDG86" s="27"/>
      <c r="TDH86" s="27"/>
      <c r="TDI86" s="27"/>
      <c r="TDJ86" s="27"/>
      <c r="TDK86" s="27"/>
      <c r="TDL86" s="27"/>
      <c r="TDM86" s="27"/>
      <c r="TDN86" s="27"/>
      <c r="TDO86" s="27"/>
      <c r="TDP86" s="27"/>
      <c r="TDQ86" s="27"/>
      <c r="TDR86" s="27"/>
      <c r="TDS86" s="27"/>
      <c r="TDT86" s="27"/>
      <c r="TDU86" s="27"/>
      <c r="TDV86" s="27"/>
      <c r="TDW86" s="27"/>
      <c r="TDX86" s="27"/>
      <c r="TDY86" s="27"/>
      <c r="TDZ86" s="27"/>
      <c r="TEA86" s="27"/>
      <c r="TEB86" s="27"/>
      <c r="TEC86" s="27"/>
      <c r="TED86" s="27"/>
      <c r="TEE86" s="27"/>
      <c r="TEF86" s="27"/>
      <c r="TEG86" s="27"/>
      <c r="TEH86" s="27"/>
      <c r="TEI86" s="27"/>
      <c r="TEJ86" s="27"/>
      <c r="TEK86" s="27"/>
      <c r="TEL86" s="27"/>
      <c r="TEM86" s="27"/>
      <c r="TEN86" s="27"/>
      <c r="TEO86" s="27"/>
      <c r="TEP86" s="27"/>
      <c r="TEQ86" s="27"/>
      <c r="TER86" s="27"/>
      <c r="TES86" s="27"/>
      <c r="TET86" s="27"/>
      <c r="TEU86" s="27"/>
      <c r="TEV86" s="27"/>
      <c r="TEW86" s="27"/>
      <c r="TEX86" s="27"/>
      <c r="TEY86" s="27"/>
      <c r="TEZ86" s="27"/>
      <c r="TFA86" s="27"/>
      <c r="TFB86" s="27"/>
      <c r="TFC86" s="27"/>
      <c r="TFD86" s="27"/>
      <c r="TFE86" s="27"/>
      <c r="TFF86" s="27"/>
      <c r="TFG86" s="27"/>
      <c r="TFH86" s="27"/>
      <c r="TFI86" s="27"/>
      <c r="TFJ86" s="27"/>
      <c r="TFK86" s="27"/>
      <c r="TFL86" s="27"/>
      <c r="TFM86" s="27"/>
      <c r="TFN86" s="27"/>
      <c r="TFO86" s="27"/>
      <c r="TFP86" s="27"/>
      <c r="TFQ86" s="27"/>
      <c r="TFR86" s="27"/>
      <c r="TFS86" s="27"/>
      <c r="TFT86" s="27"/>
      <c r="TFU86" s="27"/>
      <c r="TFV86" s="27"/>
      <c r="TFW86" s="27"/>
      <c r="TFX86" s="27"/>
      <c r="TFY86" s="27"/>
      <c r="TFZ86" s="27"/>
      <c r="TGA86" s="27"/>
      <c r="TGB86" s="27"/>
      <c r="TGC86" s="27"/>
      <c r="TGD86" s="27"/>
      <c r="TGE86" s="27"/>
      <c r="TGF86" s="27"/>
      <c r="TGG86" s="27"/>
      <c r="TGH86" s="27"/>
      <c r="TGI86" s="27"/>
      <c r="TGJ86" s="27"/>
      <c r="TGK86" s="27"/>
      <c r="TGL86" s="27"/>
      <c r="TGM86" s="27"/>
      <c r="TGN86" s="27"/>
      <c r="TGO86" s="27"/>
      <c r="TGP86" s="27"/>
      <c r="TGQ86" s="27"/>
      <c r="TGR86" s="27"/>
      <c r="TGS86" s="27"/>
      <c r="TGT86" s="27"/>
      <c r="TGU86" s="27"/>
      <c r="TGV86" s="27"/>
      <c r="TGW86" s="27"/>
      <c r="TGX86" s="27"/>
      <c r="TGY86" s="27"/>
      <c r="TGZ86" s="27"/>
      <c r="THA86" s="27"/>
      <c r="THB86" s="27"/>
      <c r="THC86" s="27"/>
      <c r="THD86" s="27"/>
      <c r="THE86" s="27"/>
      <c r="THF86" s="27"/>
      <c r="THG86" s="27"/>
      <c r="THH86" s="27"/>
      <c r="THI86" s="27"/>
      <c r="THJ86" s="27"/>
      <c r="THK86" s="27"/>
      <c r="THL86" s="27"/>
      <c r="THM86" s="27"/>
      <c r="THN86" s="27"/>
      <c r="THO86" s="27"/>
      <c r="THP86" s="27"/>
      <c r="THQ86" s="27"/>
      <c r="THR86" s="27"/>
      <c r="THS86" s="27"/>
      <c r="THT86" s="27"/>
      <c r="THU86" s="27"/>
      <c r="THV86" s="27"/>
      <c r="THW86" s="27"/>
      <c r="THX86" s="27"/>
      <c r="THY86" s="27"/>
      <c r="THZ86" s="27"/>
      <c r="TIA86" s="27"/>
      <c r="TIB86" s="27"/>
      <c r="TIC86" s="27"/>
      <c r="TID86" s="27"/>
      <c r="TIE86" s="27"/>
      <c r="TIF86" s="27"/>
      <c r="TIG86" s="27"/>
      <c r="TIH86" s="27"/>
      <c r="TII86" s="27"/>
      <c r="TIJ86" s="27"/>
      <c r="TIK86" s="27"/>
      <c r="TIL86" s="27"/>
      <c r="TIM86" s="27"/>
      <c r="TIN86" s="27"/>
      <c r="TIO86" s="27"/>
      <c r="TIP86" s="27"/>
      <c r="TIQ86" s="27"/>
      <c r="TIR86" s="27"/>
      <c r="TIS86" s="27"/>
      <c r="TIT86" s="27"/>
      <c r="TIU86" s="27"/>
      <c r="TIV86" s="27"/>
      <c r="TIW86" s="27"/>
      <c r="TIX86" s="27"/>
      <c r="TIY86" s="27"/>
      <c r="TIZ86" s="27"/>
      <c r="TJA86" s="27"/>
      <c r="TJB86" s="27"/>
      <c r="TJC86" s="27"/>
      <c r="TJD86" s="27"/>
      <c r="TJE86" s="27"/>
      <c r="TJF86" s="27"/>
      <c r="TJG86" s="27"/>
      <c r="TJH86" s="27"/>
      <c r="TJI86" s="27"/>
      <c r="TJJ86" s="27"/>
      <c r="TJK86" s="27"/>
      <c r="TJL86" s="27"/>
      <c r="TJM86" s="27"/>
      <c r="TJN86" s="27"/>
      <c r="TJO86" s="27"/>
      <c r="TJP86" s="27"/>
      <c r="TJQ86" s="27"/>
      <c r="TJR86" s="27"/>
      <c r="TJS86" s="27"/>
      <c r="TJT86" s="27"/>
      <c r="TJU86" s="27"/>
      <c r="TJV86" s="27"/>
      <c r="TJW86" s="27"/>
      <c r="TJX86" s="27"/>
      <c r="TJY86" s="27"/>
      <c r="TJZ86" s="27"/>
      <c r="TKA86" s="27"/>
      <c r="TKB86" s="27"/>
      <c r="TKC86" s="27"/>
      <c r="TKD86" s="27"/>
      <c r="TKE86" s="27"/>
      <c r="TKF86" s="27"/>
      <c r="TKG86" s="27"/>
      <c r="TKH86" s="27"/>
      <c r="TKI86" s="27"/>
      <c r="TKJ86" s="27"/>
      <c r="TKK86" s="27"/>
      <c r="TKL86" s="27"/>
      <c r="TKM86" s="27"/>
      <c r="TKN86" s="27"/>
      <c r="TKO86" s="27"/>
      <c r="TKP86" s="27"/>
      <c r="TKQ86" s="27"/>
      <c r="TKR86" s="27"/>
      <c r="TKS86" s="27"/>
      <c r="TKT86" s="27"/>
      <c r="TKU86" s="27"/>
      <c r="TKV86" s="27"/>
      <c r="TKW86" s="27"/>
      <c r="TKX86" s="27"/>
      <c r="TKY86" s="27"/>
      <c r="TKZ86" s="27"/>
      <c r="TLA86" s="27"/>
      <c r="TLB86" s="27"/>
      <c r="TLC86" s="27"/>
      <c r="TLD86" s="27"/>
      <c r="TLE86" s="27"/>
      <c r="TLF86" s="27"/>
      <c r="TLG86" s="27"/>
      <c r="TLH86" s="27"/>
      <c r="TLI86" s="27"/>
      <c r="TLJ86" s="27"/>
      <c r="TLK86" s="27"/>
      <c r="TLL86" s="27"/>
      <c r="TLM86" s="27"/>
      <c r="TLN86" s="27"/>
      <c r="TLO86" s="27"/>
      <c r="TLP86" s="27"/>
      <c r="TLQ86" s="27"/>
      <c r="TLR86" s="27"/>
      <c r="TLS86" s="27"/>
      <c r="TLT86" s="27"/>
      <c r="TLU86" s="27"/>
      <c r="TLV86" s="27"/>
      <c r="TLW86" s="27"/>
      <c r="TLX86" s="27"/>
      <c r="TLY86" s="27"/>
      <c r="TLZ86" s="27"/>
      <c r="TMA86" s="27"/>
      <c r="TMB86" s="27"/>
      <c r="TMC86" s="27"/>
      <c r="TMD86" s="27"/>
      <c r="TME86" s="27"/>
      <c r="TMF86" s="27"/>
      <c r="TMG86" s="27"/>
      <c r="TMH86" s="27"/>
      <c r="TMI86" s="27"/>
      <c r="TMJ86" s="27"/>
      <c r="TMK86" s="27"/>
      <c r="TML86" s="27"/>
      <c r="TMM86" s="27"/>
      <c r="TMN86" s="27"/>
      <c r="TMO86" s="27"/>
      <c r="TMP86" s="27"/>
      <c r="TMQ86" s="27"/>
      <c r="TMR86" s="27"/>
      <c r="TMS86" s="27"/>
      <c r="TMT86" s="27"/>
      <c r="TMU86" s="27"/>
      <c r="TMV86" s="27"/>
      <c r="TMW86" s="27"/>
      <c r="TMX86" s="27"/>
      <c r="TMY86" s="27"/>
      <c r="TMZ86" s="27"/>
      <c r="TNA86" s="27"/>
      <c r="TNB86" s="27"/>
      <c r="TNC86" s="27"/>
      <c r="TND86" s="27"/>
      <c r="TNE86" s="27"/>
      <c r="TNF86" s="27"/>
      <c r="TNG86" s="27"/>
      <c r="TNH86" s="27"/>
      <c r="TNI86" s="27"/>
      <c r="TNJ86" s="27"/>
      <c r="TNK86" s="27"/>
      <c r="TNL86" s="27"/>
      <c r="TNM86" s="27"/>
      <c r="TNN86" s="27"/>
      <c r="TNO86" s="27"/>
      <c r="TNP86" s="27"/>
      <c r="TNQ86" s="27"/>
      <c r="TNR86" s="27"/>
      <c r="TNS86" s="27"/>
      <c r="TNT86" s="27"/>
      <c r="TNU86" s="27"/>
      <c r="TNV86" s="27"/>
      <c r="TNW86" s="27"/>
      <c r="TNX86" s="27"/>
      <c r="TNY86" s="27"/>
      <c r="TNZ86" s="27"/>
      <c r="TOA86" s="27"/>
      <c r="TOB86" s="27"/>
      <c r="TOC86" s="27"/>
      <c r="TOD86" s="27"/>
      <c r="TOE86" s="27"/>
      <c r="TOF86" s="27"/>
      <c r="TOG86" s="27"/>
      <c r="TOH86" s="27"/>
      <c r="TOI86" s="27"/>
      <c r="TOJ86" s="27"/>
      <c r="TOK86" s="27"/>
      <c r="TOL86" s="27"/>
      <c r="TOM86" s="27"/>
      <c r="TON86" s="27"/>
      <c r="TOO86" s="27"/>
      <c r="TOP86" s="27"/>
      <c r="TOQ86" s="27"/>
      <c r="TOR86" s="27"/>
      <c r="TOS86" s="27"/>
      <c r="TOT86" s="27"/>
      <c r="TOU86" s="27"/>
      <c r="TOV86" s="27"/>
      <c r="TOW86" s="27"/>
      <c r="TOX86" s="27"/>
      <c r="TOY86" s="27"/>
      <c r="TOZ86" s="27"/>
      <c r="TPA86" s="27"/>
      <c r="TPB86" s="27"/>
      <c r="TPC86" s="27"/>
      <c r="TPD86" s="27"/>
      <c r="TPE86" s="27"/>
      <c r="TPF86" s="27"/>
      <c r="TPG86" s="27"/>
      <c r="TPH86" s="27"/>
      <c r="TPI86" s="27"/>
      <c r="TPJ86" s="27"/>
      <c r="TPK86" s="27"/>
      <c r="TPL86" s="27"/>
      <c r="TPM86" s="27"/>
      <c r="TPN86" s="27"/>
      <c r="TPO86" s="27"/>
      <c r="TPP86" s="27"/>
      <c r="TPQ86" s="27"/>
      <c r="TPR86" s="27"/>
      <c r="TPS86" s="27"/>
      <c r="TPT86" s="27"/>
      <c r="TPU86" s="27"/>
      <c r="TPV86" s="27"/>
      <c r="TPW86" s="27"/>
      <c r="TPX86" s="27"/>
      <c r="TPY86" s="27"/>
      <c r="TPZ86" s="27"/>
      <c r="TQA86" s="27"/>
      <c r="TQB86" s="27"/>
      <c r="TQC86" s="27"/>
      <c r="TQD86" s="27"/>
      <c r="TQE86" s="27"/>
      <c r="TQF86" s="27"/>
      <c r="TQG86" s="27"/>
      <c r="TQH86" s="27"/>
      <c r="TQI86" s="27"/>
      <c r="TQJ86" s="27"/>
      <c r="TQK86" s="27"/>
      <c r="TQL86" s="27"/>
      <c r="TQM86" s="27"/>
      <c r="TQN86" s="27"/>
      <c r="TQO86" s="27"/>
      <c r="TQP86" s="27"/>
      <c r="TQQ86" s="27"/>
      <c r="TQR86" s="27"/>
      <c r="TQS86" s="27"/>
      <c r="TQT86" s="27"/>
      <c r="TQU86" s="27"/>
      <c r="TQV86" s="27"/>
      <c r="TQW86" s="27"/>
      <c r="TQX86" s="27"/>
      <c r="TQY86" s="27"/>
      <c r="TQZ86" s="27"/>
      <c r="TRA86" s="27"/>
      <c r="TRB86" s="27"/>
      <c r="TRC86" s="27"/>
      <c r="TRD86" s="27"/>
      <c r="TRE86" s="27"/>
      <c r="TRF86" s="27"/>
      <c r="TRG86" s="27"/>
      <c r="TRH86" s="27"/>
      <c r="TRI86" s="27"/>
      <c r="TRJ86" s="27"/>
      <c r="TRK86" s="27"/>
      <c r="TRL86" s="27"/>
      <c r="TRM86" s="27"/>
      <c r="TRN86" s="27"/>
      <c r="TRO86" s="27"/>
      <c r="TRP86" s="27"/>
      <c r="TRQ86" s="27"/>
      <c r="TRR86" s="27"/>
      <c r="TRS86" s="27"/>
      <c r="TRT86" s="27"/>
      <c r="TRU86" s="27"/>
      <c r="TRV86" s="27"/>
      <c r="TRW86" s="27"/>
      <c r="TRX86" s="27"/>
      <c r="TRY86" s="27"/>
      <c r="TRZ86" s="27"/>
      <c r="TSA86" s="27"/>
      <c r="TSB86" s="27"/>
      <c r="TSC86" s="27"/>
      <c r="TSD86" s="27"/>
      <c r="TSE86" s="27"/>
      <c r="TSF86" s="27"/>
      <c r="TSG86" s="27"/>
      <c r="TSH86" s="27"/>
      <c r="TSI86" s="27"/>
      <c r="TSJ86" s="27"/>
      <c r="TSK86" s="27"/>
      <c r="TSL86" s="27"/>
      <c r="TSM86" s="27"/>
      <c r="TSN86" s="27"/>
      <c r="TSO86" s="27"/>
      <c r="TSP86" s="27"/>
      <c r="TSQ86" s="27"/>
      <c r="TSR86" s="27"/>
      <c r="TSS86" s="27"/>
      <c r="TST86" s="27"/>
      <c r="TSU86" s="27"/>
      <c r="TSV86" s="27"/>
      <c r="TSW86" s="27"/>
      <c r="TSX86" s="27"/>
      <c r="TSY86" s="27"/>
      <c r="TSZ86" s="27"/>
      <c r="TTA86" s="27"/>
      <c r="TTB86" s="27"/>
      <c r="TTC86" s="27"/>
      <c r="TTD86" s="27"/>
      <c r="TTE86" s="27"/>
      <c r="TTF86" s="27"/>
      <c r="TTG86" s="27"/>
      <c r="TTH86" s="27"/>
      <c r="TTI86" s="27"/>
      <c r="TTJ86" s="27"/>
      <c r="TTK86" s="27"/>
      <c r="TTL86" s="27"/>
      <c r="TTM86" s="27"/>
      <c r="TTN86" s="27"/>
      <c r="TTO86" s="27"/>
      <c r="TTP86" s="27"/>
      <c r="TTQ86" s="27"/>
      <c r="TTR86" s="27"/>
      <c r="TTS86" s="27"/>
      <c r="TTT86" s="27"/>
      <c r="TTU86" s="27"/>
      <c r="TTV86" s="27"/>
      <c r="TTW86" s="27"/>
      <c r="TTX86" s="27"/>
      <c r="TTY86" s="27"/>
      <c r="TTZ86" s="27"/>
      <c r="TUA86" s="27"/>
      <c r="TUB86" s="27"/>
      <c r="TUC86" s="27"/>
      <c r="TUD86" s="27"/>
      <c r="TUE86" s="27"/>
      <c r="TUF86" s="27"/>
      <c r="TUG86" s="27"/>
      <c r="TUH86" s="27"/>
      <c r="TUI86" s="27"/>
      <c r="TUJ86" s="27"/>
      <c r="TUK86" s="27"/>
      <c r="TUL86" s="27"/>
      <c r="TUM86" s="27"/>
      <c r="TUN86" s="27"/>
      <c r="TUO86" s="27"/>
      <c r="TUP86" s="27"/>
      <c r="TUQ86" s="27"/>
      <c r="TUR86" s="27"/>
      <c r="TUS86" s="27"/>
      <c r="TUT86" s="27"/>
      <c r="TUU86" s="27"/>
      <c r="TUV86" s="27"/>
      <c r="TUW86" s="27"/>
      <c r="TUX86" s="27"/>
      <c r="TUY86" s="27"/>
      <c r="TUZ86" s="27"/>
      <c r="TVA86" s="27"/>
      <c r="TVB86" s="27"/>
      <c r="TVC86" s="27"/>
      <c r="TVD86" s="27"/>
      <c r="TVE86" s="27"/>
      <c r="TVF86" s="27"/>
      <c r="TVG86" s="27"/>
      <c r="TVH86" s="27"/>
      <c r="TVI86" s="27"/>
      <c r="TVJ86" s="27"/>
      <c r="TVK86" s="27"/>
      <c r="TVL86" s="27"/>
      <c r="TVM86" s="27"/>
      <c r="TVN86" s="27"/>
      <c r="TVO86" s="27"/>
      <c r="TVP86" s="27"/>
      <c r="TVQ86" s="27"/>
      <c r="TVR86" s="27"/>
      <c r="TVS86" s="27"/>
      <c r="TVT86" s="27"/>
      <c r="TVU86" s="27"/>
      <c r="TVV86" s="27"/>
      <c r="TVW86" s="27"/>
      <c r="TVX86" s="27"/>
      <c r="TVY86" s="27"/>
      <c r="TVZ86" s="27"/>
      <c r="TWA86" s="27"/>
      <c r="TWB86" s="27"/>
      <c r="TWC86" s="27"/>
      <c r="TWD86" s="27"/>
      <c r="TWE86" s="27"/>
      <c r="TWF86" s="27"/>
      <c r="TWG86" s="27"/>
      <c r="TWH86" s="27"/>
      <c r="TWI86" s="27"/>
      <c r="TWJ86" s="27"/>
      <c r="TWK86" s="27"/>
      <c r="TWL86" s="27"/>
      <c r="TWM86" s="27"/>
      <c r="TWN86" s="27"/>
      <c r="TWO86" s="27"/>
      <c r="TWP86" s="27"/>
      <c r="TWQ86" s="27"/>
      <c r="TWR86" s="27"/>
      <c r="TWS86" s="27"/>
      <c r="TWT86" s="27"/>
      <c r="TWU86" s="27"/>
      <c r="TWV86" s="27"/>
      <c r="TWW86" s="27"/>
      <c r="TWX86" s="27"/>
      <c r="TWY86" s="27"/>
      <c r="TWZ86" s="27"/>
      <c r="TXA86" s="27"/>
      <c r="TXB86" s="27"/>
      <c r="TXC86" s="27"/>
      <c r="TXD86" s="27"/>
      <c r="TXE86" s="27"/>
      <c r="TXF86" s="27"/>
      <c r="TXG86" s="27"/>
      <c r="TXH86" s="27"/>
      <c r="TXI86" s="27"/>
      <c r="TXJ86" s="27"/>
      <c r="TXK86" s="27"/>
      <c r="TXL86" s="27"/>
      <c r="TXM86" s="27"/>
      <c r="TXN86" s="27"/>
      <c r="TXO86" s="27"/>
      <c r="TXP86" s="27"/>
      <c r="TXQ86" s="27"/>
      <c r="TXR86" s="27"/>
      <c r="TXS86" s="27"/>
      <c r="TXT86" s="27"/>
      <c r="TXU86" s="27"/>
      <c r="TXV86" s="27"/>
      <c r="TXW86" s="27"/>
      <c r="TXX86" s="27"/>
      <c r="TXY86" s="27"/>
      <c r="TXZ86" s="27"/>
      <c r="TYA86" s="27"/>
      <c r="TYB86" s="27"/>
      <c r="TYC86" s="27"/>
      <c r="TYD86" s="27"/>
      <c r="TYE86" s="27"/>
      <c r="TYF86" s="27"/>
      <c r="TYG86" s="27"/>
      <c r="TYH86" s="27"/>
      <c r="TYI86" s="27"/>
      <c r="TYJ86" s="27"/>
      <c r="TYK86" s="27"/>
      <c r="TYL86" s="27"/>
      <c r="TYM86" s="27"/>
      <c r="TYN86" s="27"/>
      <c r="TYO86" s="27"/>
      <c r="TYP86" s="27"/>
      <c r="TYQ86" s="27"/>
      <c r="TYR86" s="27"/>
      <c r="TYS86" s="27"/>
      <c r="TYT86" s="27"/>
      <c r="TYU86" s="27"/>
      <c r="TYV86" s="27"/>
      <c r="TYW86" s="27"/>
      <c r="TYX86" s="27"/>
      <c r="TYY86" s="27"/>
      <c r="TYZ86" s="27"/>
      <c r="TZA86" s="27"/>
      <c r="TZB86" s="27"/>
      <c r="TZC86" s="27"/>
      <c r="TZD86" s="27"/>
      <c r="TZE86" s="27"/>
      <c r="TZF86" s="27"/>
      <c r="TZG86" s="27"/>
      <c r="TZH86" s="27"/>
      <c r="TZI86" s="27"/>
      <c r="TZJ86" s="27"/>
      <c r="TZK86" s="27"/>
      <c r="TZL86" s="27"/>
      <c r="TZM86" s="27"/>
      <c r="TZN86" s="27"/>
      <c r="TZO86" s="27"/>
      <c r="TZP86" s="27"/>
      <c r="TZQ86" s="27"/>
      <c r="TZR86" s="27"/>
      <c r="TZS86" s="27"/>
      <c r="TZT86" s="27"/>
      <c r="TZU86" s="27"/>
      <c r="TZV86" s="27"/>
      <c r="TZW86" s="27"/>
      <c r="TZX86" s="27"/>
      <c r="TZY86" s="27"/>
      <c r="TZZ86" s="27"/>
      <c r="UAA86" s="27"/>
      <c r="UAB86" s="27"/>
      <c r="UAC86" s="27"/>
      <c r="UAD86" s="27"/>
      <c r="UAE86" s="27"/>
      <c r="UAF86" s="27"/>
      <c r="UAG86" s="27"/>
      <c r="UAH86" s="27"/>
      <c r="UAI86" s="27"/>
      <c r="UAJ86" s="27"/>
      <c r="UAK86" s="27"/>
      <c r="UAL86" s="27"/>
      <c r="UAM86" s="27"/>
      <c r="UAN86" s="27"/>
      <c r="UAO86" s="27"/>
      <c r="UAP86" s="27"/>
      <c r="UAQ86" s="27"/>
      <c r="UAR86" s="27"/>
      <c r="UAS86" s="27"/>
      <c r="UAT86" s="27"/>
      <c r="UAU86" s="27"/>
      <c r="UAV86" s="27"/>
      <c r="UAW86" s="27"/>
      <c r="UAX86" s="27"/>
      <c r="UAY86" s="27"/>
      <c r="UAZ86" s="27"/>
      <c r="UBA86" s="27"/>
      <c r="UBB86" s="27"/>
      <c r="UBC86" s="27"/>
      <c r="UBD86" s="27"/>
      <c r="UBE86" s="27"/>
      <c r="UBF86" s="27"/>
      <c r="UBG86" s="27"/>
      <c r="UBH86" s="27"/>
      <c r="UBI86" s="27"/>
      <c r="UBJ86" s="27"/>
      <c r="UBK86" s="27"/>
      <c r="UBL86" s="27"/>
      <c r="UBM86" s="27"/>
      <c r="UBN86" s="27"/>
      <c r="UBO86" s="27"/>
      <c r="UBP86" s="27"/>
      <c r="UBQ86" s="27"/>
      <c r="UBR86" s="27"/>
      <c r="UBS86" s="27"/>
      <c r="UBT86" s="27"/>
      <c r="UBU86" s="27"/>
      <c r="UBV86" s="27"/>
      <c r="UBW86" s="27"/>
      <c r="UBX86" s="27"/>
      <c r="UBY86" s="27"/>
      <c r="UBZ86" s="27"/>
      <c r="UCA86" s="27"/>
      <c r="UCB86" s="27"/>
      <c r="UCC86" s="27"/>
      <c r="UCD86" s="27"/>
      <c r="UCE86" s="27"/>
      <c r="UCF86" s="27"/>
      <c r="UCG86" s="27"/>
      <c r="UCH86" s="27"/>
      <c r="UCI86" s="27"/>
      <c r="UCJ86" s="27"/>
      <c r="UCK86" s="27"/>
      <c r="UCL86" s="27"/>
      <c r="UCM86" s="27"/>
      <c r="UCN86" s="27"/>
      <c r="UCO86" s="27"/>
      <c r="UCP86" s="27"/>
      <c r="UCQ86" s="27"/>
      <c r="UCR86" s="27"/>
      <c r="UCS86" s="27"/>
      <c r="UCT86" s="27"/>
      <c r="UCU86" s="27"/>
      <c r="UCV86" s="27"/>
      <c r="UCW86" s="27"/>
      <c r="UCX86" s="27"/>
      <c r="UCY86" s="27"/>
      <c r="UCZ86" s="27"/>
      <c r="UDA86" s="27"/>
      <c r="UDB86" s="27"/>
      <c r="UDC86" s="27"/>
      <c r="UDD86" s="27"/>
      <c r="UDE86" s="27"/>
      <c r="UDF86" s="27"/>
      <c r="UDG86" s="27"/>
      <c r="UDH86" s="27"/>
      <c r="UDI86" s="27"/>
      <c r="UDJ86" s="27"/>
      <c r="UDK86" s="27"/>
      <c r="UDL86" s="27"/>
      <c r="UDM86" s="27"/>
      <c r="UDN86" s="27"/>
      <c r="UDO86" s="27"/>
      <c r="UDP86" s="27"/>
      <c r="UDQ86" s="27"/>
      <c r="UDR86" s="27"/>
      <c r="UDS86" s="27"/>
      <c r="UDT86" s="27"/>
      <c r="UDU86" s="27"/>
      <c r="UDV86" s="27"/>
      <c r="UDW86" s="27"/>
      <c r="UDX86" s="27"/>
      <c r="UDY86" s="27"/>
      <c r="UDZ86" s="27"/>
      <c r="UEA86" s="27"/>
      <c r="UEB86" s="27"/>
      <c r="UEC86" s="27"/>
      <c r="UED86" s="27"/>
      <c r="UEE86" s="27"/>
      <c r="UEF86" s="27"/>
      <c r="UEG86" s="27"/>
      <c r="UEH86" s="27"/>
      <c r="UEI86" s="27"/>
      <c r="UEJ86" s="27"/>
      <c r="UEK86" s="27"/>
      <c r="UEL86" s="27"/>
      <c r="UEM86" s="27"/>
      <c r="UEN86" s="27"/>
      <c r="UEO86" s="27"/>
      <c r="UEP86" s="27"/>
      <c r="UEQ86" s="27"/>
      <c r="UER86" s="27"/>
      <c r="UES86" s="27"/>
      <c r="UET86" s="27"/>
      <c r="UEU86" s="27"/>
      <c r="UEV86" s="27"/>
      <c r="UEW86" s="27"/>
      <c r="UEX86" s="27"/>
      <c r="UEY86" s="27"/>
      <c r="UEZ86" s="27"/>
      <c r="UFA86" s="27"/>
      <c r="UFB86" s="27"/>
      <c r="UFC86" s="27"/>
      <c r="UFD86" s="27"/>
      <c r="UFE86" s="27"/>
      <c r="UFF86" s="27"/>
      <c r="UFG86" s="27"/>
      <c r="UFH86" s="27"/>
      <c r="UFI86" s="27"/>
      <c r="UFJ86" s="27"/>
      <c r="UFK86" s="27"/>
      <c r="UFL86" s="27"/>
      <c r="UFM86" s="27"/>
      <c r="UFN86" s="27"/>
      <c r="UFO86" s="27"/>
      <c r="UFP86" s="27"/>
      <c r="UFQ86" s="27"/>
      <c r="UFR86" s="27"/>
      <c r="UFS86" s="27"/>
      <c r="UFT86" s="27"/>
      <c r="UFU86" s="27"/>
      <c r="UFV86" s="27"/>
      <c r="UFW86" s="27"/>
      <c r="UFX86" s="27"/>
      <c r="UFY86" s="27"/>
      <c r="UFZ86" s="27"/>
      <c r="UGA86" s="27"/>
      <c r="UGB86" s="27"/>
      <c r="UGC86" s="27"/>
      <c r="UGD86" s="27"/>
      <c r="UGE86" s="27"/>
      <c r="UGF86" s="27"/>
      <c r="UGG86" s="27"/>
      <c r="UGH86" s="27"/>
      <c r="UGI86" s="27"/>
      <c r="UGJ86" s="27"/>
      <c r="UGK86" s="27"/>
      <c r="UGL86" s="27"/>
      <c r="UGM86" s="27"/>
      <c r="UGN86" s="27"/>
      <c r="UGO86" s="27"/>
      <c r="UGP86" s="27"/>
      <c r="UGQ86" s="27"/>
      <c r="UGR86" s="27"/>
      <c r="UGS86" s="27"/>
      <c r="UGT86" s="27"/>
      <c r="UGU86" s="27"/>
      <c r="UGV86" s="27"/>
      <c r="UGW86" s="27"/>
      <c r="UGX86" s="27"/>
      <c r="UGY86" s="27"/>
      <c r="UGZ86" s="27"/>
      <c r="UHA86" s="27"/>
      <c r="UHB86" s="27"/>
      <c r="UHC86" s="27"/>
      <c r="UHD86" s="27"/>
      <c r="UHE86" s="27"/>
      <c r="UHF86" s="27"/>
      <c r="UHG86" s="27"/>
      <c r="UHH86" s="27"/>
      <c r="UHI86" s="27"/>
      <c r="UHJ86" s="27"/>
      <c r="UHK86" s="27"/>
      <c r="UHL86" s="27"/>
      <c r="UHM86" s="27"/>
      <c r="UHN86" s="27"/>
      <c r="UHO86" s="27"/>
      <c r="UHP86" s="27"/>
      <c r="UHQ86" s="27"/>
      <c r="UHR86" s="27"/>
      <c r="UHS86" s="27"/>
      <c r="UHT86" s="27"/>
      <c r="UHU86" s="27"/>
      <c r="UHV86" s="27"/>
      <c r="UHW86" s="27"/>
      <c r="UHX86" s="27"/>
      <c r="UHY86" s="27"/>
      <c r="UHZ86" s="27"/>
      <c r="UIA86" s="27"/>
      <c r="UIB86" s="27"/>
      <c r="UIC86" s="27"/>
      <c r="UID86" s="27"/>
      <c r="UIE86" s="27"/>
      <c r="UIF86" s="27"/>
      <c r="UIG86" s="27"/>
      <c r="UIH86" s="27"/>
      <c r="UII86" s="27"/>
      <c r="UIJ86" s="27"/>
      <c r="UIK86" s="27"/>
      <c r="UIL86" s="27"/>
      <c r="UIM86" s="27"/>
      <c r="UIN86" s="27"/>
      <c r="UIO86" s="27"/>
      <c r="UIP86" s="27"/>
      <c r="UIQ86" s="27"/>
      <c r="UIR86" s="27"/>
      <c r="UIS86" s="27"/>
      <c r="UIT86" s="27"/>
      <c r="UIU86" s="27"/>
      <c r="UIV86" s="27"/>
      <c r="UIW86" s="27"/>
      <c r="UIX86" s="27"/>
      <c r="UIY86" s="27"/>
      <c r="UIZ86" s="27"/>
      <c r="UJA86" s="27"/>
      <c r="UJB86" s="27"/>
      <c r="UJC86" s="27"/>
      <c r="UJD86" s="27"/>
      <c r="UJE86" s="27"/>
      <c r="UJF86" s="27"/>
      <c r="UJG86" s="27"/>
      <c r="UJH86" s="27"/>
      <c r="UJI86" s="27"/>
      <c r="UJJ86" s="27"/>
      <c r="UJK86" s="27"/>
      <c r="UJL86" s="27"/>
      <c r="UJM86" s="27"/>
      <c r="UJN86" s="27"/>
      <c r="UJO86" s="27"/>
      <c r="UJP86" s="27"/>
      <c r="UJQ86" s="27"/>
      <c r="UJR86" s="27"/>
      <c r="UJS86" s="27"/>
      <c r="UJT86" s="27"/>
      <c r="UJU86" s="27"/>
      <c r="UJV86" s="27"/>
      <c r="UJW86" s="27"/>
      <c r="UJX86" s="27"/>
      <c r="UJY86" s="27"/>
      <c r="UJZ86" s="27"/>
      <c r="UKA86" s="27"/>
      <c r="UKB86" s="27"/>
      <c r="UKC86" s="27"/>
      <c r="UKD86" s="27"/>
      <c r="UKE86" s="27"/>
      <c r="UKF86" s="27"/>
      <c r="UKG86" s="27"/>
      <c r="UKH86" s="27"/>
      <c r="UKI86" s="27"/>
      <c r="UKJ86" s="27"/>
      <c r="UKK86" s="27"/>
      <c r="UKL86" s="27"/>
      <c r="UKM86" s="27"/>
      <c r="UKN86" s="27"/>
      <c r="UKO86" s="27"/>
      <c r="UKP86" s="27"/>
      <c r="UKQ86" s="27"/>
      <c r="UKR86" s="27"/>
      <c r="UKS86" s="27"/>
      <c r="UKT86" s="27"/>
      <c r="UKU86" s="27"/>
      <c r="UKV86" s="27"/>
      <c r="UKW86" s="27"/>
      <c r="UKX86" s="27"/>
      <c r="UKY86" s="27"/>
      <c r="UKZ86" s="27"/>
      <c r="ULA86" s="27"/>
      <c r="ULB86" s="27"/>
      <c r="ULC86" s="27"/>
      <c r="ULD86" s="27"/>
      <c r="ULE86" s="27"/>
      <c r="ULF86" s="27"/>
      <c r="ULG86" s="27"/>
      <c r="ULH86" s="27"/>
      <c r="ULI86" s="27"/>
      <c r="ULJ86" s="27"/>
      <c r="ULK86" s="27"/>
      <c r="ULL86" s="27"/>
      <c r="ULM86" s="27"/>
      <c r="ULN86" s="27"/>
      <c r="ULO86" s="27"/>
      <c r="ULP86" s="27"/>
      <c r="ULQ86" s="27"/>
      <c r="ULR86" s="27"/>
      <c r="ULS86" s="27"/>
      <c r="ULT86" s="27"/>
      <c r="ULU86" s="27"/>
      <c r="ULV86" s="27"/>
      <c r="ULW86" s="27"/>
      <c r="ULX86" s="27"/>
      <c r="ULY86" s="27"/>
      <c r="ULZ86" s="27"/>
      <c r="UMA86" s="27"/>
      <c r="UMB86" s="27"/>
      <c r="UMC86" s="27"/>
      <c r="UMD86" s="27"/>
      <c r="UME86" s="27"/>
      <c r="UMF86" s="27"/>
      <c r="UMG86" s="27"/>
      <c r="UMH86" s="27"/>
      <c r="UMI86" s="27"/>
      <c r="UMJ86" s="27"/>
      <c r="UMK86" s="27"/>
      <c r="UML86" s="27"/>
      <c r="UMM86" s="27"/>
      <c r="UMN86" s="27"/>
      <c r="UMO86" s="27"/>
      <c r="UMP86" s="27"/>
      <c r="UMQ86" s="27"/>
      <c r="UMR86" s="27"/>
      <c r="UMS86" s="27"/>
      <c r="UMT86" s="27"/>
      <c r="UMU86" s="27"/>
      <c r="UMV86" s="27"/>
      <c r="UMW86" s="27"/>
      <c r="UMX86" s="27"/>
      <c r="UMY86" s="27"/>
      <c r="UMZ86" s="27"/>
      <c r="UNA86" s="27"/>
      <c r="UNB86" s="27"/>
      <c r="UNC86" s="27"/>
      <c r="UND86" s="27"/>
      <c r="UNE86" s="27"/>
      <c r="UNF86" s="27"/>
      <c r="UNG86" s="27"/>
      <c r="UNH86" s="27"/>
      <c r="UNI86" s="27"/>
      <c r="UNJ86" s="27"/>
      <c r="UNK86" s="27"/>
      <c r="UNL86" s="27"/>
      <c r="UNM86" s="27"/>
      <c r="UNN86" s="27"/>
      <c r="UNO86" s="27"/>
      <c r="UNP86" s="27"/>
      <c r="UNQ86" s="27"/>
      <c r="UNR86" s="27"/>
      <c r="UNS86" s="27"/>
      <c r="UNT86" s="27"/>
      <c r="UNU86" s="27"/>
      <c r="UNV86" s="27"/>
      <c r="UNW86" s="27"/>
      <c r="UNX86" s="27"/>
      <c r="UNY86" s="27"/>
      <c r="UNZ86" s="27"/>
      <c r="UOA86" s="27"/>
      <c r="UOB86" s="27"/>
      <c r="UOC86" s="27"/>
      <c r="UOD86" s="27"/>
      <c r="UOE86" s="27"/>
      <c r="UOF86" s="27"/>
      <c r="UOG86" s="27"/>
      <c r="UOH86" s="27"/>
      <c r="UOI86" s="27"/>
      <c r="UOJ86" s="27"/>
      <c r="UOK86" s="27"/>
      <c r="UOL86" s="27"/>
      <c r="UOM86" s="27"/>
      <c r="UON86" s="27"/>
      <c r="UOO86" s="27"/>
      <c r="UOP86" s="27"/>
      <c r="UOQ86" s="27"/>
      <c r="UOR86" s="27"/>
      <c r="UOS86" s="27"/>
      <c r="UOT86" s="27"/>
      <c r="UOU86" s="27"/>
      <c r="UOV86" s="27"/>
      <c r="UOW86" s="27"/>
      <c r="UOX86" s="27"/>
      <c r="UOY86" s="27"/>
      <c r="UOZ86" s="27"/>
      <c r="UPA86" s="27"/>
      <c r="UPB86" s="27"/>
      <c r="UPC86" s="27"/>
      <c r="UPD86" s="27"/>
      <c r="UPE86" s="27"/>
      <c r="UPF86" s="27"/>
      <c r="UPG86" s="27"/>
      <c r="UPH86" s="27"/>
      <c r="UPI86" s="27"/>
      <c r="UPJ86" s="27"/>
      <c r="UPK86" s="27"/>
      <c r="UPL86" s="27"/>
      <c r="UPM86" s="27"/>
      <c r="UPN86" s="27"/>
      <c r="UPO86" s="27"/>
      <c r="UPP86" s="27"/>
      <c r="UPQ86" s="27"/>
      <c r="UPR86" s="27"/>
      <c r="UPS86" s="27"/>
      <c r="UPT86" s="27"/>
      <c r="UPU86" s="27"/>
      <c r="UPV86" s="27"/>
      <c r="UPW86" s="27"/>
      <c r="UPX86" s="27"/>
      <c r="UPY86" s="27"/>
      <c r="UPZ86" s="27"/>
      <c r="UQA86" s="27"/>
      <c r="UQB86" s="27"/>
      <c r="UQC86" s="27"/>
      <c r="UQD86" s="27"/>
      <c r="UQE86" s="27"/>
      <c r="UQF86" s="27"/>
      <c r="UQG86" s="27"/>
      <c r="UQH86" s="27"/>
      <c r="UQI86" s="27"/>
      <c r="UQJ86" s="27"/>
      <c r="UQK86" s="27"/>
      <c r="UQL86" s="27"/>
      <c r="UQM86" s="27"/>
      <c r="UQN86" s="27"/>
      <c r="UQO86" s="27"/>
      <c r="UQP86" s="27"/>
      <c r="UQQ86" s="27"/>
      <c r="UQR86" s="27"/>
      <c r="UQS86" s="27"/>
      <c r="UQT86" s="27"/>
      <c r="UQU86" s="27"/>
      <c r="UQV86" s="27"/>
      <c r="UQW86" s="27"/>
      <c r="UQX86" s="27"/>
      <c r="UQY86" s="27"/>
      <c r="UQZ86" s="27"/>
      <c r="URA86" s="27"/>
      <c r="URB86" s="27"/>
      <c r="URC86" s="27"/>
      <c r="URD86" s="27"/>
      <c r="URE86" s="27"/>
      <c r="URF86" s="27"/>
      <c r="URG86" s="27"/>
      <c r="URH86" s="27"/>
      <c r="URI86" s="27"/>
      <c r="URJ86" s="27"/>
      <c r="URK86" s="27"/>
      <c r="URL86" s="27"/>
      <c r="URM86" s="27"/>
      <c r="URN86" s="27"/>
      <c r="URO86" s="27"/>
      <c r="URP86" s="27"/>
      <c r="URQ86" s="27"/>
      <c r="URR86" s="27"/>
      <c r="URS86" s="27"/>
      <c r="URT86" s="27"/>
      <c r="URU86" s="27"/>
      <c r="URV86" s="27"/>
      <c r="URW86" s="27"/>
      <c r="URX86" s="27"/>
      <c r="URY86" s="27"/>
      <c r="URZ86" s="27"/>
      <c r="USA86" s="27"/>
      <c r="USB86" s="27"/>
      <c r="USC86" s="27"/>
      <c r="USD86" s="27"/>
      <c r="USE86" s="27"/>
      <c r="USF86" s="27"/>
      <c r="USG86" s="27"/>
      <c r="USH86" s="27"/>
      <c r="USI86" s="27"/>
      <c r="USJ86" s="27"/>
      <c r="USK86" s="27"/>
      <c r="USL86" s="27"/>
      <c r="USM86" s="27"/>
      <c r="USN86" s="27"/>
      <c r="USO86" s="27"/>
      <c r="USP86" s="27"/>
      <c r="USQ86" s="27"/>
      <c r="USR86" s="27"/>
      <c r="USS86" s="27"/>
      <c r="UST86" s="27"/>
      <c r="USU86" s="27"/>
      <c r="USV86" s="27"/>
      <c r="USW86" s="27"/>
      <c r="USX86" s="27"/>
      <c r="USY86" s="27"/>
      <c r="USZ86" s="27"/>
      <c r="UTA86" s="27"/>
      <c r="UTB86" s="27"/>
      <c r="UTC86" s="27"/>
      <c r="UTD86" s="27"/>
      <c r="UTE86" s="27"/>
      <c r="UTF86" s="27"/>
      <c r="UTG86" s="27"/>
      <c r="UTH86" s="27"/>
      <c r="UTI86" s="27"/>
      <c r="UTJ86" s="27"/>
      <c r="UTK86" s="27"/>
      <c r="UTL86" s="27"/>
      <c r="UTM86" s="27"/>
      <c r="UTN86" s="27"/>
      <c r="UTO86" s="27"/>
      <c r="UTP86" s="27"/>
      <c r="UTQ86" s="27"/>
      <c r="UTR86" s="27"/>
      <c r="UTS86" s="27"/>
      <c r="UTT86" s="27"/>
      <c r="UTU86" s="27"/>
      <c r="UTV86" s="27"/>
      <c r="UTW86" s="27"/>
      <c r="UTX86" s="27"/>
      <c r="UTY86" s="27"/>
      <c r="UTZ86" s="27"/>
      <c r="UUA86" s="27"/>
      <c r="UUB86" s="27"/>
      <c r="UUC86" s="27"/>
      <c r="UUD86" s="27"/>
      <c r="UUE86" s="27"/>
      <c r="UUF86" s="27"/>
      <c r="UUG86" s="27"/>
      <c r="UUH86" s="27"/>
      <c r="UUI86" s="27"/>
      <c r="UUJ86" s="27"/>
      <c r="UUK86" s="27"/>
      <c r="UUL86" s="27"/>
      <c r="UUM86" s="27"/>
      <c r="UUN86" s="27"/>
      <c r="UUO86" s="27"/>
      <c r="UUP86" s="27"/>
      <c r="UUQ86" s="27"/>
      <c r="UUR86" s="27"/>
      <c r="UUS86" s="27"/>
      <c r="UUT86" s="27"/>
      <c r="UUU86" s="27"/>
      <c r="UUV86" s="27"/>
      <c r="UUW86" s="27"/>
      <c r="UUX86" s="27"/>
      <c r="UUY86" s="27"/>
      <c r="UUZ86" s="27"/>
      <c r="UVA86" s="27"/>
      <c r="UVB86" s="27"/>
      <c r="UVC86" s="27"/>
      <c r="UVD86" s="27"/>
      <c r="UVE86" s="27"/>
      <c r="UVF86" s="27"/>
      <c r="UVG86" s="27"/>
      <c r="UVH86" s="27"/>
      <c r="UVI86" s="27"/>
      <c r="UVJ86" s="27"/>
      <c r="UVK86" s="27"/>
      <c r="UVL86" s="27"/>
      <c r="UVM86" s="27"/>
      <c r="UVN86" s="27"/>
      <c r="UVO86" s="27"/>
      <c r="UVP86" s="27"/>
      <c r="UVQ86" s="27"/>
      <c r="UVR86" s="27"/>
      <c r="UVS86" s="27"/>
      <c r="UVT86" s="27"/>
      <c r="UVU86" s="27"/>
      <c r="UVV86" s="27"/>
      <c r="UVW86" s="27"/>
      <c r="UVX86" s="27"/>
      <c r="UVY86" s="27"/>
      <c r="UVZ86" s="27"/>
      <c r="UWA86" s="27"/>
      <c r="UWB86" s="27"/>
      <c r="UWC86" s="27"/>
      <c r="UWD86" s="27"/>
      <c r="UWE86" s="27"/>
      <c r="UWF86" s="27"/>
      <c r="UWG86" s="27"/>
      <c r="UWH86" s="27"/>
      <c r="UWI86" s="27"/>
      <c r="UWJ86" s="27"/>
      <c r="UWK86" s="27"/>
      <c r="UWL86" s="27"/>
      <c r="UWM86" s="27"/>
      <c r="UWN86" s="27"/>
      <c r="UWO86" s="27"/>
      <c r="UWP86" s="27"/>
      <c r="UWQ86" s="27"/>
      <c r="UWR86" s="27"/>
      <c r="UWS86" s="27"/>
      <c r="UWT86" s="27"/>
      <c r="UWU86" s="27"/>
      <c r="UWV86" s="27"/>
      <c r="UWW86" s="27"/>
      <c r="UWX86" s="27"/>
      <c r="UWY86" s="27"/>
      <c r="UWZ86" s="27"/>
      <c r="UXA86" s="27"/>
      <c r="UXB86" s="27"/>
      <c r="UXC86" s="27"/>
      <c r="UXD86" s="27"/>
      <c r="UXE86" s="27"/>
      <c r="UXF86" s="27"/>
      <c r="UXG86" s="27"/>
      <c r="UXH86" s="27"/>
      <c r="UXI86" s="27"/>
      <c r="UXJ86" s="27"/>
      <c r="UXK86" s="27"/>
      <c r="UXL86" s="27"/>
      <c r="UXM86" s="27"/>
      <c r="UXN86" s="27"/>
      <c r="UXO86" s="27"/>
      <c r="UXP86" s="27"/>
      <c r="UXQ86" s="27"/>
      <c r="UXR86" s="27"/>
      <c r="UXS86" s="27"/>
      <c r="UXT86" s="27"/>
      <c r="UXU86" s="27"/>
      <c r="UXV86" s="27"/>
      <c r="UXW86" s="27"/>
      <c r="UXX86" s="27"/>
      <c r="UXY86" s="27"/>
      <c r="UXZ86" s="27"/>
      <c r="UYA86" s="27"/>
      <c r="UYB86" s="27"/>
      <c r="UYC86" s="27"/>
      <c r="UYD86" s="27"/>
      <c r="UYE86" s="27"/>
      <c r="UYF86" s="27"/>
      <c r="UYG86" s="27"/>
      <c r="UYH86" s="27"/>
      <c r="UYI86" s="27"/>
      <c r="UYJ86" s="27"/>
      <c r="UYK86" s="27"/>
      <c r="UYL86" s="27"/>
      <c r="UYM86" s="27"/>
      <c r="UYN86" s="27"/>
      <c r="UYO86" s="27"/>
      <c r="UYP86" s="27"/>
      <c r="UYQ86" s="27"/>
      <c r="UYR86" s="27"/>
      <c r="UYS86" s="27"/>
      <c r="UYT86" s="27"/>
      <c r="UYU86" s="27"/>
      <c r="UYV86" s="27"/>
      <c r="UYW86" s="27"/>
      <c r="UYX86" s="27"/>
      <c r="UYY86" s="27"/>
      <c r="UYZ86" s="27"/>
      <c r="UZA86" s="27"/>
      <c r="UZB86" s="27"/>
      <c r="UZC86" s="27"/>
      <c r="UZD86" s="27"/>
      <c r="UZE86" s="27"/>
      <c r="UZF86" s="27"/>
      <c r="UZG86" s="27"/>
      <c r="UZH86" s="27"/>
      <c r="UZI86" s="27"/>
      <c r="UZJ86" s="27"/>
      <c r="UZK86" s="27"/>
      <c r="UZL86" s="27"/>
      <c r="UZM86" s="27"/>
      <c r="UZN86" s="27"/>
      <c r="UZO86" s="27"/>
      <c r="UZP86" s="27"/>
      <c r="UZQ86" s="27"/>
      <c r="UZR86" s="27"/>
      <c r="UZS86" s="27"/>
      <c r="UZT86" s="27"/>
      <c r="UZU86" s="27"/>
      <c r="UZV86" s="27"/>
      <c r="UZW86" s="27"/>
      <c r="UZX86" s="27"/>
      <c r="UZY86" s="27"/>
      <c r="UZZ86" s="27"/>
      <c r="VAA86" s="27"/>
      <c r="VAB86" s="27"/>
      <c r="VAC86" s="27"/>
      <c r="VAD86" s="27"/>
      <c r="VAE86" s="27"/>
      <c r="VAF86" s="27"/>
      <c r="VAG86" s="27"/>
      <c r="VAH86" s="27"/>
      <c r="VAI86" s="27"/>
      <c r="VAJ86" s="27"/>
      <c r="VAK86" s="27"/>
      <c r="VAL86" s="27"/>
      <c r="VAM86" s="27"/>
      <c r="VAN86" s="27"/>
      <c r="VAO86" s="27"/>
      <c r="VAP86" s="27"/>
      <c r="VAQ86" s="27"/>
      <c r="VAR86" s="27"/>
      <c r="VAS86" s="27"/>
      <c r="VAT86" s="27"/>
      <c r="VAU86" s="27"/>
      <c r="VAV86" s="27"/>
      <c r="VAW86" s="27"/>
      <c r="VAX86" s="27"/>
      <c r="VAY86" s="27"/>
      <c r="VAZ86" s="27"/>
      <c r="VBA86" s="27"/>
      <c r="VBB86" s="27"/>
      <c r="VBC86" s="27"/>
      <c r="VBD86" s="27"/>
      <c r="VBE86" s="27"/>
      <c r="VBF86" s="27"/>
      <c r="VBG86" s="27"/>
      <c r="VBH86" s="27"/>
      <c r="VBI86" s="27"/>
      <c r="VBJ86" s="27"/>
      <c r="VBK86" s="27"/>
      <c r="VBL86" s="27"/>
      <c r="VBM86" s="27"/>
      <c r="VBN86" s="27"/>
      <c r="VBO86" s="27"/>
      <c r="VBP86" s="27"/>
      <c r="VBQ86" s="27"/>
      <c r="VBR86" s="27"/>
      <c r="VBS86" s="27"/>
      <c r="VBT86" s="27"/>
      <c r="VBU86" s="27"/>
      <c r="VBV86" s="27"/>
      <c r="VBW86" s="27"/>
      <c r="VBX86" s="27"/>
      <c r="VBY86" s="27"/>
      <c r="VBZ86" s="27"/>
      <c r="VCA86" s="27"/>
      <c r="VCB86" s="27"/>
      <c r="VCC86" s="27"/>
      <c r="VCD86" s="27"/>
      <c r="VCE86" s="27"/>
      <c r="VCF86" s="27"/>
      <c r="VCG86" s="27"/>
      <c r="VCH86" s="27"/>
      <c r="VCI86" s="27"/>
      <c r="VCJ86" s="27"/>
      <c r="VCK86" s="27"/>
      <c r="VCL86" s="27"/>
      <c r="VCM86" s="27"/>
      <c r="VCN86" s="27"/>
      <c r="VCO86" s="27"/>
      <c r="VCP86" s="27"/>
      <c r="VCQ86" s="27"/>
      <c r="VCR86" s="27"/>
      <c r="VCS86" s="27"/>
      <c r="VCT86" s="27"/>
      <c r="VCU86" s="27"/>
      <c r="VCV86" s="27"/>
      <c r="VCW86" s="27"/>
      <c r="VCX86" s="27"/>
      <c r="VCY86" s="27"/>
      <c r="VCZ86" s="27"/>
      <c r="VDA86" s="27"/>
      <c r="VDB86" s="27"/>
      <c r="VDC86" s="27"/>
      <c r="VDD86" s="27"/>
      <c r="VDE86" s="27"/>
      <c r="VDF86" s="27"/>
      <c r="VDG86" s="27"/>
      <c r="VDH86" s="27"/>
      <c r="VDI86" s="27"/>
      <c r="VDJ86" s="27"/>
      <c r="VDK86" s="27"/>
      <c r="VDL86" s="27"/>
      <c r="VDM86" s="27"/>
      <c r="VDN86" s="27"/>
      <c r="VDO86" s="27"/>
      <c r="VDP86" s="27"/>
      <c r="VDQ86" s="27"/>
      <c r="VDR86" s="27"/>
      <c r="VDS86" s="27"/>
      <c r="VDT86" s="27"/>
      <c r="VDU86" s="27"/>
      <c r="VDV86" s="27"/>
      <c r="VDW86" s="27"/>
      <c r="VDX86" s="27"/>
      <c r="VDY86" s="27"/>
      <c r="VDZ86" s="27"/>
      <c r="VEA86" s="27"/>
      <c r="VEB86" s="27"/>
      <c r="VEC86" s="27"/>
      <c r="VED86" s="27"/>
      <c r="VEE86" s="27"/>
      <c r="VEF86" s="27"/>
      <c r="VEG86" s="27"/>
      <c r="VEH86" s="27"/>
      <c r="VEI86" s="27"/>
      <c r="VEJ86" s="27"/>
      <c r="VEK86" s="27"/>
      <c r="VEL86" s="27"/>
      <c r="VEM86" s="27"/>
      <c r="VEN86" s="27"/>
      <c r="VEO86" s="27"/>
      <c r="VEP86" s="27"/>
      <c r="VEQ86" s="27"/>
      <c r="VER86" s="27"/>
      <c r="VES86" s="27"/>
      <c r="VET86" s="27"/>
      <c r="VEU86" s="27"/>
      <c r="VEV86" s="27"/>
      <c r="VEW86" s="27"/>
      <c r="VEX86" s="27"/>
      <c r="VEY86" s="27"/>
      <c r="VEZ86" s="27"/>
      <c r="VFA86" s="27"/>
      <c r="VFB86" s="27"/>
      <c r="VFC86" s="27"/>
      <c r="VFD86" s="27"/>
      <c r="VFE86" s="27"/>
      <c r="VFF86" s="27"/>
      <c r="VFG86" s="27"/>
      <c r="VFH86" s="27"/>
      <c r="VFI86" s="27"/>
      <c r="VFJ86" s="27"/>
      <c r="VFK86" s="27"/>
      <c r="VFL86" s="27"/>
      <c r="VFM86" s="27"/>
      <c r="VFN86" s="27"/>
      <c r="VFO86" s="27"/>
      <c r="VFP86" s="27"/>
      <c r="VFQ86" s="27"/>
      <c r="VFR86" s="27"/>
      <c r="VFS86" s="27"/>
      <c r="VFT86" s="27"/>
      <c r="VFU86" s="27"/>
      <c r="VFV86" s="27"/>
      <c r="VFW86" s="27"/>
      <c r="VFX86" s="27"/>
      <c r="VFY86" s="27"/>
      <c r="VFZ86" s="27"/>
      <c r="VGA86" s="27"/>
      <c r="VGB86" s="27"/>
      <c r="VGC86" s="27"/>
      <c r="VGD86" s="27"/>
      <c r="VGE86" s="27"/>
      <c r="VGF86" s="27"/>
      <c r="VGG86" s="27"/>
      <c r="VGH86" s="27"/>
      <c r="VGI86" s="27"/>
      <c r="VGJ86" s="27"/>
      <c r="VGK86" s="27"/>
      <c r="VGL86" s="27"/>
      <c r="VGM86" s="27"/>
      <c r="VGN86" s="27"/>
      <c r="VGO86" s="27"/>
      <c r="VGP86" s="27"/>
      <c r="VGQ86" s="27"/>
      <c r="VGR86" s="27"/>
      <c r="VGS86" s="27"/>
      <c r="VGT86" s="27"/>
      <c r="VGU86" s="27"/>
      <c r="VGV86" s="27"/>
      <c r="VGW86" s="27"/>
      <c r="VGX86" s="27"/>
      <c r="VGY86" s="27"/>
      <c r="VGZ86" s="27"/>
      <c r="VHA86" s="27"/>
      <c r="VHB86" s="27"/>
      <c r="VHC86" s="27"/>
      <c r="VHD86" s="27"/>
      <c r="VHE86" s="27"/>
      <c r="VHF86" s="27"/>
      <c r="VHG86" s="27"/>
      <c r="VHH86" s="27"/>
      <c r="VHI86" s="27"/>
      <c r="VHJ86" s="27"/>
      <c r="VHK86" s="27"/>
      <c r="VHL86" s="27"/>
      <c r="VHM86" s="27"/>
      <c r="VHN86" s="27"/>
      <c r="VHO86" s="27"/>
      <c r="VHP86" s="27"/>
      <c r="VHQ86" s="27"/>
      <c r="VHR86" s="27"/>
      <c r="VHS86" s="27"/>
      <c r="VHT86" s="27"/>
      <c r="VHU86" s="27"/>
      <c r="VHV86" s="27"/>
      <c r="VHW86" s="27"/>
      <c r="VHX86" s="27"/>
      <c r="VHY86" s="27"/>
      <c r="VHZ86" s="27"/>
      <c r="VIA86" s="27"/>
      <c r="VIB86" s="27"/>
      <c r="VIC86" s="27"/>
      <c r="VID86" s="27"/>
      <c r="VIE86" s="27"/>
      <c r="VIF86" s="27"/>
      <c r="VIG86" s="27"/>
      <c r="VIH86" s="27"/>
      <c r="VII86" s="27"/>
      <c r="VIJ86" s="27"/>
      <c r="VIK86" s="27"/>
      <c r="VIL86" s="27"/>
      <c r="VIM86" s="27"/>
      <c r="VIN86" s="27"/>
      <c r="VIO86" s="27"/>
      <c r="VIP86" s="27"/>
      <c r="VIQ86" s="27"/>
      <c r="VIR86" s="27"/>
      <c r="VIS86" s="27"/>
      <c r="VIT86" s="27"/>
      <c r="VIU86" s="27"/>
      <c r="VIV86" s="27"/>
      <c r="VIW86" s="27"/>
      <c r="VIX86" s="27"/>
      <c r="VIY86" s="27"/>
      <c r="VIZ86" s="27"/>
      <c r="VJA86" s="27"/>
      <c r="VJB86" s="27"/>
      <c r="VJC86" s="27"/>
      <c r="VJD86" s="27"/>
      <c r="VJE86" s="27"/>
      <c r="VJF86" s="27"/>
      <c r="VJG86" s="27"/>
      <c r="VJH86" s="27"/>
      <c r="VJI86" s="27"/>
      <c r="VJJ86" s="27"/>
      <c r="VJK86" s="27"/>
      <c r="VJL86" s="27"/>
      <c r="VJM86" s="27"/>
      <c r="VJN86" s="27"/>
      <c r="VJO86" s="27"/>
      <c r="VJP86" s="27"/>
      <c r="VJQ86" s="27"/>
      <c r="VJR86" s="27"/>
      <c r="VJS86" s="27"/>
      <c r="VJT86" s="27"/>
      <c r="VJU86" s="27"/>
      <c r="VJV86" s="27"/>
      <c r="VJW86" s="27"/>
      <c r="VJX86" s="27"/>
      <c r="VJY86" s="27"/>
      <c r="VJZ86" s="27"/>
      <c r="VKA86" s="27"/>
      <c r="VKB86" s="27"/>
      <c r="VKC86" s="27"/>
      <c r="VKD86" s="27"/>
      <c r="VKE86" s="27"/>
      <c r="VKF86" s="27"/>
      <c r="VKG86" s="27"/>
      <c r="VKH86" s="27"/>
      <c r="VKI86" s="27"/>
      <c r="VKJ86" s="27"/>
      <c r="VKK86" s="27"/>
      <c r="VKL86" s="27"/>
      <c r="VKM86" s="27"/>
      <c r="VKN86" s="27"/>
      <c r="VKO86" s="27"/>
      <c r="VKP86" s="27"/>
      <c r="VKQ86" s="27"/>
      <c r="VKR86" s="27"/>
      <c r="VKS86" s="27"/>
      <c r="VKT86" s="27"/>
      <c r="VKU86" s="27"/>
      <c r="VKV86" s="27"/>
      <c r="VKW86" s="27"/>
      <c r="VKX86" s="27"/>
      <c r="VKY86" s="27"/>
      <c r="VKZ86" s="27"/>
      <c r="VLA86" s="27"/>
      <c r="VLB86" s="27"/>
      <c r="VLC86" s="27"/>
      <c r="VLD86" s="27"/>
      <c r="VLE86" s="27"/>
      <c r="VLF86" s="27"/>
      <c r="VLG86" s="27"/>
      <c r="VLH86" s="27"/>
      <c r="VLI86" s="27"/>
      <c r="VLJ86" s="27"/>
      <c r="VLK86" s="27"/>
      <c r="VLL86" s="27"/>
      <c r="VLM86" s="27"/>
      <c r="VLN86" s="27"/>
      <c r="VLO86" s="27"/>
      <c r="VLP86" s="27"/>
      <c r="VLQ86" s="27"/>
      <c r="VLR86" s="27"/>
      <c r="VLS86" s="27"/>
      <c r="VLT86" s="27"/>
      <c r="VLU86" s="27"/>
      <c r="VLV86" s="27"/>
      <c r="VLW86" s="27"/>
      <c r="VLX86" s="27"/>
      <c r="VLY86" s="27"/>
      <c r="VLZ86" s="27"/>
      <c r="VMA86" s="27"/>
      <c r="VMB86" s="27"/>
      <c r="VMC86" s="27"/>
      <c r="VMD86" s="27"/>
      <c r="VME86" s="27"/>
      <c r="VMF86" s="27"/>
      <c r="VMG86" s="27"/>
      <c r="VMH86" s="27"/>
      <c r="VMI86" s="27"/>
      <c r="VMJ86" s="27"/>
      <c r="VMK86" s="27"/>
      <c r="VML86" s="27"/>
      <c r="VMM86" s="27"/>
      <c r="VMN86" s="27"/>
      <c r="VMO86" s="27"/>
      <c r="VMP86" s="27"/>
      <c r="VMQ86" s="27"/>
      <c r="VMR86" s="27"/>
      <c r="VMS86" s="27"/>
      <c r="VMT86" s="27"/>
      <c r="VMU86" s="27"/>
      <c r="VMV86" s="27"/>
      <c r="VMW86" s="27"/>
      <c r="VMX86" s="27"/>
      <c r="VMY86" s="27"/>
      <c r="VMZ86" s="27"/>
      <c r="VNA86" s="27"/>
      <c r="VNB86" s="27"/>
      <c r="VNC86" s="27"/>
      <c r="VND86" s="27"/>
      <c r="VNE86" s="27"/>
      <c r="VNF86" s="27"/>
      <c r="VNG86" s="27"/>
      <c r="VNH86" s="27"/>
      <c r="VNI86" s="27"/>
      <c r="VNJ86" s="27"/>
      <c r="VNK86" s="27"/>
      <c r="VNL86" s="27"/>
      <c r="VNM86" s="27"/>
      <c r="VNN86" s="27"/>
      <c r="VNO86" s="27"/>
      <c r="VNP86" s="27"/>
      <c r="VNQ86" s="27"/>
      <c r="VNR86" s="27"/>
      <c r="VNS86" s="27"/>
      <c r="VNT86" s="27"/>
      <c r="VNU86" s="27"/>
      <c r="VNV86" s="27"/>
      <c r="VNW86" s="27"/>
      <c r="VNX86" s="27"/>
      <c r="VNY86" s="27"/>
      <c r="VNZ86" s="27"/>
      <c r="VOA86" s="27"/>
      <c r="VOB86" s="27"/>
      <c r="VOC86" s="27"/>
      <c r="VOD86" s="27"/>
      <c r="VOE86" s="27"/>
      <c r="VOF86" s="27"/>
      <c r="VOG86" s="27"/>
      <c r="VOH86" s="27"/>
      <c r="VOI86" s="27"/>
      <c r="VOJ86" s="27"/>
      <c r="VOK86" s="27"/>
      <c r="VOL86" s="27"/>
      <c r="VOM86" s="27"/>
      <c r="VON86" s="27"/>
      <c r="VOO86" s="27"/>
      <c r="VOP86" s="27"/>
      <c r="VOQ86" s="27"/>
      <c r="VOR86" s="27"/>
      <c r="VOS86" s="27"/>
      <c r="VOT86" s="27"/>
      <c r="VOU86" s="27"/>
      <c r="VOV86" s="27"/>
      <c r="VOW86" s="27"/>
      <c r="VOX86" s="27"/>
      <c r="VOY86" s="27"/>
      <c r="VOZ86" s="27"/>
      <c r="VPA86" s="27"/>
      <c r="VPB86" s="27"/>
      <c r="VPC86" s="27"/>
      <c r="VPD86" s="27"/>
      <c r="VPE86" s="27"/>
      <c r="VPF86" s="27"/>
      <c r="VPG86" s="27"/>
      <c r="VPH86" s="27"/>
      <c r="VPI86" s="27"/>
      <c r="VPJ86" s="27"/>
      <c r="VPK86" s="27"/>
      <c r="VPL86" s="27"/>
      <c r="VPM86" s="27"/>
      <c r="VPN86" s="27"/>
      <c r="VPO86" s="27"/>
      <c r="VPP86" s="27"/>
      <c r="VPQ86" s="27"/>
      <c r="VPR86" s="27"/>
      <c r="VPS86" s="27"/>
      <c r="VPT86" s="27"/>
      <c r="VPU86" s="27"/>
      <c r="VPV86" s="27"/>
      <c r="VPW86" s="27"/>
      <c r="VPX86" s="27"/>
      <c r="VPY86" s="27"/>
      <c r="VPZ86" s="27"/>
      <c r="VQA86" s="27"/>
      <c r="VQB86" s="27"/>
      <c r="VQC86" s="27"/>
      <c r="VQD86" s="27"/>
      <c r="VQE86" s="27"/>
      <c r="VQF86" s="27"/>
      <c r="VQG86" s="27"/>
      <c r="VQH86" s="27"/>
      <c r="VQI86" s="27"/>
      <c r="VQJ86" s="27"/>
      <c r="VQK86" s="27"/>
      <c r="VQL86" s="27"/>
      <c r="VQM86" s="27"/>
      <c r="VQN86" s="27"/>
      <c r="VQO86" s="27"/>
      <c r="VQP86" s="27"/>
      <c r="VQQ86" s="27"/>
      <c r="VQR86" s="27"/>
      <c r="VQS86" s="27"/>
      <c r="VQT86" s="27"/>
      <c r="VQU86" s="27"/>
      <c r="VQV86" s="27"/>
      <c r="VQW86" s="27"/>
      <c r="VQX86" s="27"/>
      <c r="VQY86" s="27"/>
      <c r="VQZ86" s="27"/>
      <c r="VRA86" s="27"/>
      <c r="VRB86" s="27"/>
      <c r="VRC86" s="27"/>
      <c r="VRD86" s="27"/>
      <c r="VRE86" s="27"/>
      <c r="VRF86" s="27"/>
      <c r="VRG86" s="27"/>
      <c r="VRH86" s="27"/>
      <c r="VRI86" s="27"/>
      <c r="VRJ86" s="27"/>
      <c r="VRK86" s="27"/>
      <c r="VRL86" s="27"/>
      <c r="VRM86" s="27"/>
      <c r="VRN86" s="27"/>
      <c r="VRO86" s="27"/>
      <c r="VRP86" s="27"/>
      <c r="VRQ86" s="27"/>
      <c r="VRR86" s="27"/>
      <c r="VRS86" s="27"/>
      <c r="VRT86" s="27"/>
      <c r="VRU86" s="27"/>
      <c r="VRV86" s="27"/>
      <c r="VRW86" s="27"/>
      <c r="VRX86" s="27"/>
      <c r="VRY86" s="27"/>
      <c r="VRZ86" s="27"/>
      <c r="VSA86" s="27"/>
      <c r="VSB86" s="27"/>
      <c r="VSC86" s="27"/>
      <c r="VSD86" s="27"/>
      <c r="VSE86" s="27"/>
      <c r="VSF86" s="27"/>
      <c r="VSG86" s="27"/>
      <c r="VSH86" s="27"/>
      <c r="VSI86" s="27"/>
      <c r="VSJ86" s="27"/>
      <c r="VSK86" s="27"/>
      <c r="VSL86" s="27"/>
      <c r="VSM86" s="27"/>
      <c r="VSN86" s="27"/>
      <c r="VSO86" s="27"/>
      <c r="VSP86" s="27"/>
      <c r="VSQ86" s="27"/>
      <c r="VSR86" s="27"/>
      <c r="VSS86" s="27"/>
      <c r="VST86" s="27"/>
      <c r="VSU86" s="27"/>
      <c r="VSV86" s="27"/>
      <c r="VSW86" s="27"/>
      <c r="VSX86" s="27"/>
      <c r="VSY86" s="27"/>
      <c r="VSZ86" s="27"/>
      <c r="VTA86" s="27"/>
      <c r="VTB86" s="27"/>
      <c r="VTC86" s="27"/>
      <c r="VTD86" s="27"/>
      <c r="VTE86" s="27"/>
      <c r="VTF86" s="27"/>
      <c r="VTG86" s="27"/>
      <c r="VTH86" s="27"/>
      <c r="VTI86" s="27"/>
      <c r="VTJ86" s="27"/>
      <c r="VTK86" s="27"/>
      <c r="VTL86" s="27"/>
      <c r="VTM86" s="27"/>
      <c r="VTN86" s="27"/>
      <c r="VTO86" s="27"/>
      <c r="VTP86" s="27"/>
      <c r="VTQ86" s="27"/>
      <c r="VTR86" s="27"/>
      <c r="VTS86" s="27"/>
      <c r="VTT86" s="27"/>
      <c r="VTU86" s="27"/>
      <c r="VTV86" s="27"/>
      <c r="VTW86" s="27"/>
      <c r="VTX86" s="27"/>
      <c r="VTY86" s="27"/>
      <c r="VTZ86" s="27"/>
      <c r="VUA86" s="27"/>
      <c r="VUB86" s="27"/>
      <c r="VUC86" s="27"/>
      <c r="VUD86" s="27"/>
      <c r="VUE86" s="27"/>
      <c r="VUF86" s="27"/>
      <c r="VUG86" s="27"/>
      <c r="VUH86" s="27"/>
      <c r="VUI86" s="27"/>
      <c r="VUJ86" s="27"/>
      <c r="VUK86" s="27"/>
      <c r="VUL86" s="27"/>
      <c r="VUM86" s="27"/>
      <c r="VUN86" s="27"/>
      <c r="VUO86" s="27"/>
      <c r="VUP86" s="27"/>
      <c r="VUQ86" s="27"/>
      <c r="VUR86" s="27"/>
      <c r="VUS86" s="27"/>
      <c r="VUT86" s="27"/>
      <c r="VUU86" s="27"/>
      <c r="VUV86" s="27"/>
      <c r="VUW86" s="27"/>
      <c r="VUX86" s="27"/>
      <c r="VUY86" s="27"/>
      <c r="VUZ86" s="27"/>
      <c r="VVA86" s="27"/>
      <c r="VVB86" s="27"/>
      <c r="VVC86" s="27"/>
      <c r="VVD86" s="27"/>
      <c r="VVE86" s="27"/>
      <c r="VVF86" s="27"/>
      <c r="VVG86" s="27"/>
      <c r="VVH86" s="27"/>
      <c r="VVI86" s="27"/>
      <c r="VVJ86" s="27"/>
      <c r="VVK86" s="27"/>
      <c r="VVL86" s="27"/>
      <c r="VVM86" s="27"/>
      <c r="VVN86" s="27"/>
      <c r="VVO86" s="27"/>
      <c r="VVP86" s="27"/>
      <c r="VVQ86" s="27"/>
      <c r="VVR86" s="27"/>
      <c r="VVS86" s="27"/>
      <c r="VVT86" s="27"/>
      <c r="VVU86" s="27"/>
      <c r="VVV86" s="27"/>
      <c r="VVW86" s="27"/>
      <c r="VVX86" s="27"/>
      <c r="VVY86" s="27"/>
      <c r="VVZ86" s="27"/>
      <c r="VWA86" s="27"/>
      <c r="VWB86" s="27"/>
      <c r="VWC86" s="27"/>
      <c r="VWD86" s="27"/>
      <c r="VWE86" s="27"/>
      <c r="VWF86" s="27"/>
      <c r="VWG86" s="27"/>
      <c r="VWH86" s="27"/>
      <c r="VWI86" s="27"/>
      <c r="VWJ86" s="27"/>
      <c r="VWK86" s="27"/>
      <c r="VWL86" s="27"/>
      <c r="VWM86" s="27"/>
      <c r="VWN86" s="27"/>
      <c r="VWO86" s="27"/>
      <c r="VWP86" s="27"/>
      <c r="VWQ86" s="27"/>
      <c r="VWR86" s="27"/>
      <c r="VWS86" s="27"/>
      <c r="VWT86" s="27"/>
      <c r="VWU86" s="27"/>
      <c r="VWV86" s="27"/>
      <c r="VWW86" s="27"/>
      <c r="VWX86" s="27"/>
      <c r="VWY86" s="27"/>
      <c r="VWZ86" s="27"/>
      <c r="VXA86" s="27"/>
      <c r="VXB86" s="27"/>
      <c r="VXC86" s="27"/>
      <c r="VXD86" s="27"/>
      <c r="VXE86" s="27"/>
      <c r="VXF86" s="27"/>
      <c r="VXG86" s="27"/>
      <c r="VXH86" s="27"/>
      <c r="VXI86" s="27"/>
      <c r="VXJ86" s="27"/>
      <c r="VXK86" s="27"/>
      <c r="VXL86" s="27"/>
      <c r="VXM86" s="27"/>
      <c r="VXN86" s="27"/>
      <c r="VXO86" s="27"/>
      <c r="VXP86" s="27"/>
      <c r="VXQ86" s="27"/>
      <c r="VXR86" s="27"/>
      <c r="VXS86" s="27"/>
      <c r="VXT86" s="27"/>
      <c r="VXU86" s="27"/>
      <c r="VXV86" s="27"/>
      <c r="VXW86" s="27"/>
      <c r="VXX86" s="27"/>
      <c r="VXY86" s="27"/>
      <c r="VXZ86" s="27"/>
      <c r="VYA86" s="27"/>
      <c r="VYB86" s="27"/>
      <c r="VYC86" s="27"/>
      <c r="VYD86" s="27"/>
      <c r="VYE86" s="27"/>
      <c r="VYF86" s="27"/>
      <c r="VYG86" s="27"/>
      <c r="VYH86" s="27"/>
      <c r="VYI86" s="27"/>
      <c r="VYJ86" s="27"/>
      <c r="VYK86" s="27"/>
      <c r="VYL86" s="27"/>
      <c r="VYM86" s="27"/>
      <c r="VYN86" s="27"/>
      <c r="VYO86" s="27"/>
      <c r="VYP86" s="27"/>
      <c r="VYQ86" s="27"/>
      <c r="VYR86" s="27"/>
      <c r="VYS86" s="27"/>
      <c r="VYT86" s="27"/>
      <c r="VYU86" s="27"/>
      <c r="VYV86" s="27"/>
      <c r="VYW86" s="27"/>
      <c r="VYX86" s="27"/>
      <c r="VYY86" s="27"/>
      <c r="VYZ86" s="27"/>
      <c r="VZA86" s="27"/>
      <c r="VZB86" s="27"/>
      <c r="VZC86" s="27"/>
      <c r="VZD86" s="27"/>
      <c r="VZE86" s="27"/>
      <c r="VZF86" s="27"/>
      <c r="VZG86" s="27"/>
      <c r="VZH86" s="27"/>
      <c r="VZI86" s="27"/>
      <c r="VZJ86" s="27"/>
      <c r="VZK86" s="27"/>
      <c r="VZL86" s="27"/>
      <c r="VZM86" s="27"/>
      <c r="VZN86" s="27"/>
      <c r="VZO86" s="27"/>
      <c r="VZP86" s="27"/>
      <c r="VZQ86" s="27"/>
      <c r="VZR86" s="27"/>
      <c r="VZS86" s="27"/>
      <c r="VZT86" s="27"/>
      <c r="VZU86" s="27"/>
      <c r="VZV86" s="27"/>
      <c r="VZW86" s="27"/>
      <c r="VZX86" s="27"/>
      <c r="VZY86" s="27"/>
      <c r="VZZ86" s="27"/>
      <c r="WAA86" s="27"/>
      <c r="WAB86" s="27"/>
      <c r="WAC86" s="27"/>
      <c r="WAD86" s="27"/>
      <c r="WAE86" s="27"/>
      <c r="WAF86" s="27"/>
      <c r="WAG86" s="27"/>
      <c r="WAH86" s="27"/>
      <c r="WAI86" s="27"/>
      <c r="WAJ86" s="27"/>
      <c r="WAK86" s="27"/>
      <c r="WAL86" s="27"/>
      <c r="WAM86" s="27"/>
      <c r="WAN86" s="27"/>
      <c r="WAO86" s="27"/>
      <c r="WAP86" s="27"/>
      <c r="WAQ86" s="27"/>
      <c r="WAR86" s="27"/>
      <c r="WAS86" s="27"/>
      <c r="WAT86" s="27"/>
      <c r="WAU86" s="27"/>
      <c r="WAV86" s="27"/>
      <c r="WAW86" s="27"/>
      <c r="WAX86" s="27"/>
      <c r="WAY86" s="27"/>
      <c r="WAZ86" s="27"/>
      <c r="WBA86" s="27"/>
      <c r="WBB86" s="27"/>
      <c r="WBC86" s="27"/>
      <c r="WBD86" s="27"/>
      <c r="WBE86" s="27"/>
      <c r="WBF86" s="27"/>
      <c r="WBG86" s="27"/>
      <c r="WBH86" s="27"/>
      <c r="WBI86" s="27"/>
      <c r="WBJ86" s="27"/>
      <c r="WBK86" s="27"/>
      <c r="WBL86" s="27"/>
      <c r="WBM86" s="27"/>
      <c r="WBN86" s="27"/>
      <c r="WBO86" s="27"/>
      <c r="WBP86" s="27"/>
      <c r="WBQ86" s="27"/>
      <c r="WBR86" s="27"/>
      <c r="WBS86" s="27"/>
      <c r="WBT86" s="27"/>
      <c r="WBU86" s="27"/>
      <c r="WBV86" s="27"/>
      <c r="WBW86" s="27"/>
      <c r="WBX86" s="27"/>
      <c r="WBY86" s="27"/>
      <c r="WBZ86" s="27"/>
      <c r="WCA86" s="27"/>
      <c r="WCB86" s="27"/>
      <c r="WCC86" s="27"/>
      <c r="WCD86" s="27"/>
      <c r="WCE86" s="27"/>
      <c r="WCF86" s="27"/>
      <c r="WCG86" s="27"/>
      <c r="WCH86" s="27"/>
      <c r="WCI86" s="27"/>
      <c r="WCJ86" s="27"/>
      <c r="WCK86" s="27"/>
      <c r="WCL86" s="27"/>
      <c r="WCM86" s="27"/>
      <c r="WCN86" s="27"/>
      <c r="WCO86" s="27"/>
      <c r="WCP86" s="27"/>
      <c r="WCQ86" s="27"/>
      <c r="WCR86" s="27"/>
      <c r="WCS86" s="27"/>
      <c r="WCT86" s="27"/>
      <c r="WCU86" s="27"/>
      <c r="WCV86" s="27"/>
      <c r="WCW86" s="27"/>
      <c r="WCX86" s="27"/>
      <c r="WCY86" s="27"/>
      <c r="WCZ86" s="27"/>
      <c r="WDA86" s="27"/>
      <c r="WDB86" s="27"/>
      <c r="WDC86" s="27"/>
      <c r="WDD86" s="27"/>
      <c r="WDE86" s="27"/>
      <c r="WDF86" s="27"/>
      <c r="WDG86" s="27"/>
      <c r="WDH86" s="27"/>
      <c r="WDI86" s="27"/>
      <c r="WDJ86" s="27"/>
      <c r="WDK86" s="27"/>
      <c r="WDL86" s="27"/>
      <c r="WDM86" s="27"/>
      <c r="WDN86" s="27"/>
      <c r="WDO86" s="27"/>
      <c r="WDP86" s="27"/>
      <c r="WDQ86" s="27"/>
      <c r="WDR86" s="27"/>
      <c r="WDS86" s="27"/>
      <c r="WDT86" s="27"/>
      <c r="WDU86" s="27"/>
      <c r="WDV86" s="27"/>
      <c r="WDW86" s="27"/>
      <c r="WDX86" s="27"/>
      <c r="WDY86" s="27"/>
      <c r="WDZ86" s="27"/>
      <c r="WEA86" s="27"/>
      <c r="WEB86" s="27"/>
      <c r="WEC86" s="27"/>
      <c r="WED86" s="27"/>
      <c r="WEE86" s="27"/>
      <c r="WEF86" s="27"/>
      <c r="WEG86" s="27"/>
      <c r="WEH86" s="27"/>
      <c r="WEI86" s="27"/>
      <c r="WEJ86" s="27"/>
      <c r="WEK86" s="27"/>
      <c r="WEL86" s="27"/>
      <c r="WEM86" s="27"/>
      <c r="WEN86" s="27"/>
      <c r="WEO86" s="27"/>
      <c r="WEP86" s="27"/>
      <c r="WEQ86" s="27"/>
      <c r="WER86" s="27"/>
      <c r="WES86" s="27"/>
      <c r="WET86" s="27"/>
      <c r="WEU86" s="27"/>
      <c r="WEV86" s="27"/>
      <c r="WEW86" s="27"/>
      <c r="WEX86" s="27"/>
      <c r="WEY86" s="27"/>
      <c r="WEZ86" s="27"/>
      <c r="WFA86" s="27"/>
      <c r="WFB86" s="27"/>
      <c r="WFC86" s="27"/>
      <c r="WFD86" s="27"/>
      <c r="WFE86" s="27"/>
      <c r="WFF86" s="27"/>
      <c r="WFG86" s="27"/>
      <c r="WFH86" s="27"/>
      <c r="WFI86" s="27"/>
      <c r="WFJ86" s="27"/>
      <c r="WFK86" s="27"/>
      <c r="WFL86" s="27"/>
      <c r="WFM86" s="27"/>
      <c r="WFN86" s="27"/>
      <c r="WFO86" s="27"/>
      <c r="WFP86" s="27"/>
      <c r="WFQ86" s="27"/>
      <c r="WFR86" s="27"/>
      <c r="WFS86" s="27"/>
      <c r="WFT86" s="27"/>
      <c r="WFU86" s="27"/>
      <c r="WFV86" s="27"/>
      <c r="WFW86" s="27"/>
      <c r="WFX86" s="27"/>
      <c r="WFY86" s="27"/>
      <c r="WFZ86" s="27"/>
      <c r="WGA86" s="27"/>
      <c r="WGB86" s="27"/>
      <c r="WGC86" s="27"/>
      <c r="WGD86" s="27"/>
      <c r="WGE86" s="27"/>
      <c r="WGF86" s="27"/>
      <c r="WGG86" s="27"/>
      <c r="WGH86" s="27"/>
      <c r="WGI86" s="27"/>
      <c r="WGJ86" s="27"/>
      <c r="WGK86" s="27"/>
      <c r="WGL86" s="27"/>
      <c r="WGM86" s="27"/>
      <c r="WGN86" s="27"/>
      <c r="WGO86" s="27"/>
      <c r="WGP86" s="27"/>
      <c r="WGQ86" s="27"/>
      <c r="WGR86" s="27"/>
      <c r="WGS86" s="27"/>
      <c r="WGT86" s="27"/>
      <c r="WGU86" s="27"/>
      <c r="WGV86" s="27"/>
      <c r="WGW86" s="27"/>
      <c r="WGX86" s="27"/>
      <c r="WGY86" s="27"/>
      <c r="WGZ86" s="27"/>
      <c r="WHA86" s="27"/>
      <c r="WHB86" s="27"/>
      <c r="WHC86" s="27"/>
      <c r="WHD86" s="27"/>
      <c r="WHE86" s="27"/>
      <c r="WHF86" s="27"/>
      <c r="WHG86" s="27"/>
      <c r="WHH86" s="27"/>
      <c r="WHI86" s="27"/>
      <c r="WHJ86" s="27"/>
      <c r="WHK86" s="27"/>
      <c r="WHL86" s="27"/>
      <c r="WHM86" s="27"/>
      <c r="WHN86" s="27"/>
      <c r="WHO86" s="27"/>
      <c r="WHP86" s="27"/>
      <c r="WHQ86" s="27"/>
      <c r="WHR86" s="27"/>
      <c r="WHS86" s="27"/>
      <c r="WHT86" s="27"/>
      <c r="WHU86" s="27"/>
      <c r="WHV86" s="27"/>
      <c r="WHW86" s="27"/>
      <c r="WHX86" s="27"/>
      <c r="WHY86" s="27"/>
      <c r="WHZ86" s="27"/>
      <c r="WIA86" s="27"/>
      <c r="WIB86" s="27"/>
      <c r="WIC86" s="27"/>
      <c r="WID86" s="27"/>
      <c r="WIE86" s="27"/>
      <c r="WIF86" s="27"/>
      <c r="WIG86" s="27"/>
      <c r="WIH86" s="27"/>
      <c r="WII86" s="27"/>
      <c r="WIJ86" s="27"/>
      <c r="WIK86" s="27"/>
      <c r="WIL86" s="27"/>
      <c r="WIM86" s="27"/>
      <c r="WIN86" s="27"/>
      <c r="WIO86" s="27"/>
      <c r="WIP86" s="27"/>
      <c r="WIQ86" s="27"/>
      <c r="WIR86" s="27"/>
      <c r="WIS86" s="27"/>
      <c r="WIT86" s="27"/>
      <c r="WIU86" s="27"/>
      <c r="WIV86" s="27"/>
      <c r="WIW86" s="27"/>
      <c r="WIX86" s="27"/>
      <c r="WIY86" s="27"/>
      <c r="WIZ86" s="27"/>
      <c r="WJA86" s="27"/>
      <c r="WJB86" s="27"/>
      <c r="WJC86" s="27"/>
      <c r="WJD86" s="27"/>
      <c r="WJE86" s="27"/>
      <c r="WJF86" s="27"/>
      <c r="WJG86" s="27"/>
      <c r="WJH86" s="27"/>
      <c r="WJI86" s="27"/>
      <c r="WJJ86" s="27"/>
      <c r="WJK86" s="27"/>
      <c r="WJL86" s="27"/>
      <c r="WJM86" s="27"/>
      <c r="WJN86" s="27"/>
      <c r="WJO86" s="27"/>
      <c r="WJP86" s="27"/>
      <c r="WJQ86" s="27"/>
      <c r="WJR86" s="27"/>
      <c r="WJS86" s="27"/>
      <c r="WJT86" s="27"/>
      <c r="WJU86" s="27"/>
      <c r="WJV86" s="27"/>
      <c r="WJW86" s="27"/>
      <c r="WJX86" s="27"/>
      <c r="WJY86" s="27"/>
      <c r="WJZ86" s="27"/>
      <c r="WKA86" s="27"/>
      <c r="WKB86" s="27"/>
      <c r="WKC86" s="27"/>
      <c r="WKD86" s="27"/>
      <c r="WKE86" s="27"/>
      <c r="WKF86" s="27"/>
      <c r="WKG86" s="27"/>
      <c r="WKH86" s="27"/>
      <c r="WKI86" s="27"/>
      <c r="WKJ86" s="27"/>
      <c r="WKK86" s="27"/>
      <c r="WKL86" s="27"/>
      <c r="WKM86" s="27"/>
      <c r="WKN86" s="27"/>
      <c r="WKO86" s="27"/>
      <c r="WKP86" s="27"/>
      <c r="WKQ86" s="27"/>
      <c r="WKR86" s="27"/>
      <c r="WKS86" s="27"/>
      <c r="WKT86" s="27"/>
      <c r="WKU86" s="27"/>
      <c r="WKV86" s="27"/>
      <c r="WKW86" s="27"/>
      <c r="WKX86" s="27"/>
      <c r="WKY86" s="27"/>
      <c r="WKZ86" s="27"/>
      <c r="WLA86" s="27"/>
      <c r="WLB86" s="27"/>
      <c r="WLC86" s="27"/>
      <c r="WLD86" s="27"/>
      <c r="WLE86" s="27"/>
      <c r="WLF86" s="27"/>
      <c r="WLG86" s="27"/>
      <c r="WLH86" s="27"/>
      <c r="WLI86" s="27"/>
      <c r="WLJ86" s="27"/>
      <c r="WLK86" s="27"/>
      <c r="WLL86" s="27"/>
      <c r="WLM86" s="27"/>
      <c r="WLN86" s="27"/>
      <c r="WLO86" s="27"/>
      <c r="WLP86" s="27"/>
      <c r="WLQ86" s="27"/>
      <c r="WLR86" s="27"/>
      <c r="WLS86" s="27"/>
      <c r="WLT86" s="27"/>
      <c r="WLU86" s="27"/>
      <c r="WLV86" s="27"/>
      <c r="WLW86" s="27"/>
      <c r="WLX86" s="27"/>
      <c r="WLY86" s="27"/>
      <c r="WLZ86" s="27"/>
      <c r="WMA86" s="27"/>
      <c r="WMB86" s="27"/>
      <c r="WMC86" s="27"/>
      <c r="WMD86" s="27"/>
      <c r="WME86" s="27"/>
      <c r="WMF86" s="27"/>
      <c r="WMG86" s="27"/>
      <c r="WMH86" s="27"/>
      <c r="WMI86" s="27"/>
      <c r="WMJ86" s="27"/>
      <c r="WMK86" s="27"/>
      <c r="WML86" s="27"/>
      <c r="WMM86" s="27"/>
      <c r="WMN86" s="27"/>
      <c r="WMO86" s="27"/>
      <c r="WMP86" s="27"/>
      <c r="WMQ86" s="27"/>
      <c r="WMR86" s="27"/>
      <c r="WMS86" s="27"/>
      <c r="WMT86" s="27"/>
      <c r="WMU86" s="27"/>
      <c r="WMV86" s="27"/>
      <c r="WMW86" s="27"/>
      <c r="WMX86" s="27"/>
      <c r="WMY86" s="27"/>
      <c r="WMZ86" s="27"/>
      <c r="WNA86" s="27"/>
      <c r="WNB86" s="27"/>
      <c r="WNC86" s="27"/>
      <c r="WND86" s="27"/>
      <c r="WNE86" s="27"/>
      <c r="WNF86" s="27"/>
      <c r="WNG86" s="27"/>
      <c r="WNH86" s="27"/>
      <c r="WNI86" s="27"/>
      <c r="WNJ86" s="27"/>
      <c r="WNK86" s="27"/>
      <c r="WNL86" s="27"/>
      <c r="WNM86" s="27"/>
      <c r="WNN86" s="27"/>
      <c r="WNO86" s="27"/>
      <c r="WNP86" s="27"/>
      <c r="WNQ86" s="27"/>
      <c r="WNR86" s="27"/>
      <c r="WNS86" s="27"/>
      <c r="WNT86" s="27"/>
      <c r="WNU86" s="27"/>
      <c r="WNV86" s="27"/>
      <c r="WNW86" s="27"/>
      <c r="WNX86" s="27"/>
      <c r="WNY86" s="27"/>
      <c r="WNZ86" s="27"/>
      <c r="WOA86" s="27"/>
      <c r="WOB86" s="27"/>
      <c r="WOC86" s="27"/>
      <c r="WOD86" s="27"/>
      <c r="WOE86" s="27"/>
      <c r="WOF86" s="27"/>
      <c r="WOG86" s="27"/>
      <c r="WOH86" s="27"/>
      <c r="WOI86" s="27"/>
      <c r="WOJ86" s="27"/>
      <c r="WOK86" s="27"/>
      <c r="WOL86" s="27"/>
      <c r="WOM86" s="27"/>
      <c r="WON86" s="27"/>
      <c r="WOO86" s="27"/>
      <c r="WOP86" s="27"/>
      <c r="WOQ86" s="27"/>
      <c r="WOR86" s="27"/>
      <c r="WOS86" s="27"/>
      <c r="WOT86" s="27"/>
      <c r="WOU86" s="27"/>
      <c r="WOV86" s="27"/>
      <c r="WOW86" s="27"/>
      <c r="WOX86" s="27"/>
      <c r="WOY86" s="27"/>
      <c r="WOZ86" s="27"/>
      <c r="WPA86" s="27"/>
      <c r="WPB86" s="27"/>
      <c r="WPC86" s="27"/>
      <c r="WPD86" s="27"/>
      <c r="WPE86" s="27"/>
      <c r="WPF86" s="27"/>
      <c r="WPG86" s="27"/>
      <c r="WPH86" s="27"/>
      <c r="WPI86" s="27"/>
      <c r="WPJ86" s="27"/>
      <c r="WPK86" s="27"/>
      <c r="WPL86" s="27"/>
      <c r="WPM86" s="27"/>
      <c r="WPN86" s="27"/>
      <c r="WPO86" s="27"/>
      <c r="WPP86" s="27"/>
      <c r="WPQ86" s="27"/>
      <c r="WPR86" s="27"/>
      <c r="WPS86" s="27"/>
      <c r="WPT86" s="27"/>
      <c r="WPU86" s="27"/>
      <c r="WPV86" s="27"/>
      <c r="WPW86" s="27"/>
      <c r="WPX86" s="27"/>
      <c r="WPY86" s="27"/>
      <c r="WPZ86" s="27"/>
      <c r="WQA86" s="27"/>
      <c r="WQB86" s="27"/>
      <c r="WQC86" s="27"/>
      <c r="WQD86" s="27"/>
      <c r="WQE86" s="27"/>
      <c r="WQF86" s="27"/>
      <c r="WQG86" s="27"/>
      <c r="WQH86" s="27"/>
      <c r="WQI86" s="27"/>
      <c r="WQJ86" s="27"/>
      <c r="WQK86" s="27"/>
      <c r="WQL86" s="27"/>
      <c r="WQM86" s="27"/>
      <c r="WQN86" s="27"/>
      <c r="WQO86" s="27"/>
      <c r="WQP86" s="27"/>
      <c r="WQQ86" s="27"/>
      <c r="WQR86" s="27"/>
      <c r="WQS86" s="27"/>
      <c r="WQT86" s="27"/>
      <c r="WQU86" s="27"/>
      <c r="WQV86" s="27"/>
      <c r="WQW86" s="27"/>
      <c r="WQX86" s="27"/>
      <c r="WQY86" s="27"/>
      <c r="WQZ86" s="27"/>
      <c r="WRA86" s="27"/>
      <c r="WRB86" s="27"/>
      <c r="WRC86" s="27"/>
      <c r="WRD86" s="27"/>
      <c r="WRE86" s="27"/>
      <c r="WRF86" s="27"/>
      <c r="WRG86" s="27"/>
      <c r="WRH86" s="27"/>
      <c r="WRI86" s="27"/>
      <c r="WRJ86" s="27"/>
      <c r="WRK86" s="27"/>
      <c r="WRL86" s="27"/>
      <c r="WRM86" s="27"/>
      <c r="WRN86" s="27"/>
      <c r="WRO86" s="27"/>
      <c r="WRP86" s="27"/>
      <c r="WRQ86" s="27"/>
      <c r="WRR86" s="27"/>
      <c r="WRS86" s="27"/>
      <c r="WRT86" s="27"/>
      <c r="WRU86" s="27"/>
      <c r="WRV86" s="27"/>
      <c r="WRW86" s="27"/>
      <c r="WRX86" s="27"/>
      <c r="WRY86" s="27"/>
      <c r="WRZ86" s="27"/>
      <c r="WSA86" s="27"/>
      <c r="WSB86" s="27"/>
      <c r="WSC86" s="27"/>
      <c r="WSD86" s="27"/>
      <c r="WSE86" s="27"/>
      <c r="WSF86" s="27"/>
      <c r="WSG86" s="27"/>
      <c r="WSH86" s="27"/>
      <c r="WSI86" s="27"/>
      <c r="WSJ86" s="27"/>
      <c r="WSK86" s="27"/>
      <c r="WSL86" s="27"/>
      <c r="WSM86" s="27"/>
      <c r="WSN86" s="27"/>
      <c r="WSO86" s="27"/>
      <c r="WSP86" s="27"/>
      <c r="WSQ86" s="27"/>
      <c r="WSR86" s="27"/>
      <c r="WSS86" s="27"/>
      <c r="WST86" s="27"/>
      <c r="WSU86" s="27"/>
      <c r="WSV86" s="27"/>
      <c r="WSW86" s="27"/>
      <c r="WSX86" s="27"/>
      <c r="WSY86" s="27"/>
      <c r="WSZ86" s="27"/>
      <c r="WTA86" s="27"/>
      <c r="WTB86" s="27"/>
      <c r="WTC86" s="27"/>
      <c r="WTD86" s="27"/>
      <c r="WTE86" s="27"/>
      <c r="WTF86" s="27"/>
      <c r="WTG86" s="27"/>
      <c r="WTH86" s="27"/>
      <c r="WTI86" s="27"/>
      <c r="WTJ86" s="27"/>
      <c r="WTK86" s="27"/>
      <c r="WTL86" s="27"/>
      <c r="WTM86" s="27"/>
      <c r="WTN86" s="27"/>
      <c r="WTO86" s="27"/>
      <c r="WTP86" s="27"/>
      <c r="WTQ86" s="27"/>
      <c r="WTR86" s="27"/>
      <c r="WTS86" s="27"/>
      <c r="WTT86" s="27"/>
      <c r="WTU86" s="27"/>
      <c r="WTV86" s="27"/>
      <c r="WTW86" s="27"/>
      <c r="WTX86" s="27"/>
      <c r="WTY86" s="27"/>
      <c r="WTZ86" s="27"/>
      <c r="WUA86" s="27"/>
      <c r="WUB86" s="27"/>
      <c r="WUC86" s="27"/>
      <c r="WUD86" s="27"/>
      <c r="WUE86" s="27"/>
      <c r="WUF86" s="27"/>
      <c r="WUG86" s="27"/>
      <c r="WUH86" s="27"/>
      <c r="WUI86" s="27"/>
      <c r="WUJ86" s="27"/>
      <c r="WUK86" s="27"/>
      <c r="WUL86" s="27"/>
      <c r="WUM86" s="27"/>
      <c r="WUN86" s="27"/>
      <c r="WUO86" s="27"/>
      <c r="WUP86" s="27"/>
      <c r="WUQ86" s="27"/>
      <c r="WUR86" s="27"/>
      <c r="WUS86" s="27"/>
      <c r="WUT86" s="27"/>
      <c r="WUU86" s="27"/>
      <c r="WUV86" s="27"/>
      <c r="WUW86" s="27"/>
      <c r="WUX86" s="27"/>
      <c r="WUY86" s="27"/>
      <c r="WUZ86" s="27"/>
      <c r="WVA86" s="27"/>
      <c r="WVB86" s="27"/>
      <c r="WVC86" s="27"/>
      <c r="WVD86" s="27"/>
      <c r="WVE86" s="27"/>
      <c r="WVF86" s="27"/>
      <c r="WVG86" s="27"/>
      <c r="WVH86" s="27"/>
      <c r="WVI86" s="27"/>
      <c r="WVJ86" s="27"/>
      <c r="WVK86" s="27"/>
      <c r="WVL86" s="27"/>
      <c r="WVM86" s="27"/>
      <c r="WVN86" s="27"/>
      <c r="WVO86" s="27"/>
      <c r="WVP86" s="27"/>
      <c r="WVQ86" s="27"/>
      <c r="WVR86" s="27"/>
      <c r="WVS86" s="27"/>
      <c r="WVT86" s="27"/>
      <c r="WVU86" s="27"/>
      <c r="WVV86" s="27"/>
      <c r="WVW86" s="27"/>
      <c r="WVX86" s="27"/>
      <c r="WVY86" s="27"/>
      <c r="WVZ86" s="27"/>
      <c r="WWA86" s="27"/>
      <c r="WWB86" s="27"/>
      <c r="WWC86" s="27"/>
      <c r="WWD86" s="27"/>
      <c r="WWE86" s="27"/>
      <c r="WWF86" s="27"/>
      <c r="WWG86" s="27"/>
      <c r="WWH86" s="27"/>
      <c r="WWI86" s="27"/>
      <c r="WWJ86" s="27"/>
      <c r="WWK86" s="27"/>
      <c r="WWL86" s="27"/>
      <c r="WWM86" s="27"/>
      <c r="WWN86" s="27"/>
      <c r="WWO86" s="27"/>
      <c r="WWP86" s="27"/>
      <c r="WWQ86" s="27"/>
      <c r="WWR86" s="27"/>
      <c r="WWS86" s="27"/>
      <c r="WWT86" s="27"/>
      <c r="WWU86" s="27"/>
      <c r="WWV86" s="27"/>
      <c r="WWW86" s="27"/>
      <c r="WWX86" s="27"/>
      <c r="WWY86" s="27"/>
      <c r="WWZ86" s="27"/>
      <c r="WXA86" s="27"/>
      <c r="WXB86" s="27"/>
      <c r="WXC86" s="27"/>
      <c r="WXD86" s="27"/>
      <c r="WXE86" s="27"/>
      <c r="WXF86" s="27"/>
      <c r="WXG86" s="27"/>
      <c r="WXH86" s="27"/>
      <c r="WXI86" s="27"/>
      <c r="WXJ86" s="27"/>
      <c r="WXK86" s="27"/>
      <c r="WXL86" s="27"/>
      <c r="WXM86" s="27"/>
      <c r="WXN86" s="27"/>
      <c r="WXO86" s="27"/>
      <c r="WXP86" s="27"/>
      <c r="WXQ86" s="27"/>
      <c r="WXR86" s="27"/>
      <c r="WXS86" s="27"/>
      <c r="WXT86" s="27"/>
      <c r="WXU86" s="27"/>
      <c r="WXV86" s="27"/>
      <c r="WXW86" s="27"/>
      <c r="WXX86" s="27"/>
      <c r="WXY86" s="27"/>
      <c r="WXZ86" s="27"/>
      <c r="WYA86" s="27"/>
      <c r="WYB86" s="27"/>
      <c r="WYC86" s="27"/>
      <c r="WYD86" s="27"/>
      <c r="WYE86" s="27"/>
      <c r="WYF86" s="27"/>
      <c r="WYG86" s="27"/>
      <c r="WYH86" s="27"/>
      <c r="WYI86" s="27"/>
      <c r="WYJ86" s="27"/>
      <c r="WYK86" s="27"/>
      <c r="WYL86" s="27"/>
      <c r="WYM86" s="27"/>
      <c r="WYN86" s="27"/>
      <c r="WYO86" s="27"/>
      <c r="WYP86" s="27"/>
      <c r="WYQ86" s="27"/>
      <c r="WYR86" s="27"/>
      <c r="WYS86" s="27"/>
      <c r="WYT86" s="27"/>
      <c r="WYU86" s="27"/>
      <c r="WYV86" s="27"/>
      <c r="WYW86" s="27"/>
      <c r="WYX86" s="27"/>
      <c r="WYY86" s="27"/>
      <c r="WYZ86" s="27"/>
      <c r="WZA86" s="27"/>
      <c r="WZB86" s="27"/>
      <c r="WZC86" s="27"/>
      <c r="WZD86" s="27"/>
      <c r="WZE86" s="27"/>
      <c r="WZF86" s="27"/>
      <c r="WZG86" s="27"/>
      <c r="WZH86" s="27"/>
      <c r="WZI86" s="27"/>
      <c r="WZJ86" s="27"/>
      <c r="WZK86" s="27"/>
      <c r="WZL86" s="27"/>
      <c r="WZM86" s="27"/>
      <c r="WZN86" s="27"/>
      <c r="WZO86" s="27"/>
      <c r="WZP86" s="27"/>
      <c r="WZQ86" s="27"/>
      <c r="WZR86" s="27"/>
      <c r="WZS86" s="27"/>
      <c r="WZT86" s="27"/>
      <c r="WZU86" s="27"/>
      <c r="WZV86" s="27"/>
      <c r="WZW86" s="27"/>
      <c r="WZX86" s="27"/>
      <c r="WZY86" s="27"/>
      <c r="WZZ86" s="27"/>
      <c r="XAA86" s="27"/>
      <c r="XAB86" s="27"/>
      <c r="XAC86" s="27"/>
      <c r="XAD86" s="27"/>
      <c r="XAE86" s="27"/>
      <c r="XAF86" s="27"/>
      <c r="XAG86" s="27"/>
      <c r="XAH86" s="27"/>
      <c r="XAI86" s="27"/>
      <c r="XAJ86" s="27"/>
      <c r="XAK86" s="27"/>
      <c r="XAL86" s="27"/>
      <c r="XAM86" s="27"/>
      <c r="XAN86" s="27"/>
      <c r="XAO86" s="27"/>
      <c r="XAP86" s="27"/>
      <c r="XAQ86" s="27"/>
      <c r="XAR86" s="27"/>
      <c r="XAS86" s="27"/>
      <c r="XAT86" s="27"/>
      <c r="XAU86" s="27"/>
      <c r="XAV86" s="27"/>
      <c r="XAW86" s="27"/>
      <c r="XAX86" s="27"/>
      <c r="XAY86" s="27"/>
      <c r="XAZ86" s="27"/>
      <c r="XBA86" s="27"/>
      <c r="XBB86" s="27"/>
      <c r="XBC86" s="27"/>
      <c r="XBD86" s="27"/>
      <c r="XBE86" s="27"/>
      <c r="XBF86" s="27"/>
      <c r="XBG86" s="27"/>
      <c r="XBH86" s="27"/>
      <c r="XBI86" s="27"/>
      <c r="XBJ86" s="27"/>
      <c r="XBK86" s="27"/>
      <c r="XBL86" s="27"/>
      <c r="XBM86" s="27"/>
      <c r="XBN86" s="27"/>
      <c r="XBO86" s="27"/>
      <c r="XBP86" s="27"/>
      <c r="XBQ86" s="27"/>
      <c r="XBR86" s="27"/>
      <c r="XBS86" s="27"/>
      <c r="XBT86" s="27"/>
      <c r="XBU86" s="27"/>
      <c r="XBV86" s="27"/>
      <c r="XBW86" s="27"/>
      <c r="XBX86" s="27"/>
      <c r="XBY86" s="27"/>
      <c r="XBZ86" s="27"/>
      <c r="XCA86" s="27"/>
      <c r="XCB86" s="27"/>
      <c r="XCC86" s="27"/>
      <c r="XCD86" s="27"/>
      <c r="XCE86" s="27"/>
      <c r="XCF86" s="27"/>
      <c r="XCG86" s="27"/>
      <c r="XCH86" s="27"/>
      <c r="XCI86" s="27"/>
      <c r="XCJ86" s="27"/>
      <c r="XCK86" s="27"/>
      <c r="XCL86" s="27"/>
      <c r="XCM86" s="27"/>
      <c r="XCN86" s="27"/>
      <c r="XCO86" s="27"/>
      <c r="XCP86" s="27"/>
      <c r="XCQ86" s="27"/>
      <c r="XCR86" s="27"/>
      <c r="XCS86" s="27"/>
      <c r="XCT86" s="27"/>
      <c r="XCU86" s="27"/>
      <c r="XCV86" s="27"/>
      <c r="XCW86" s="27"/>
      <c r="XCX86" s="27"/>
      <c r="XCY86" s="27"/>
      <c r="XCZ86" s="27"/>
      <c r="XDA86" s="27"/>
      <c r="XDB86" s="27"/>
      <c r="XDC86" s="27"/>
      <c r="XDD86" s="27"/>
      <c r="XDE86" s="27"/>
      <c r="XDF86" s="27"/>
      <c r="XDG86" s="27"/>
      <c r="XDH86" s="27"/>
      <c r="XDI86" s="27"/>
      <c r="XDJ86" s="27"/>
      <c r="XDK86" s="27"/>
      <c r="XDL86" s="27"/>
      <c r="XDM86" s="27"/>
      <c r="XDN86" s="27"/>
      <c r="XDO86" s="27"/>
      <c r="XDP86" s="27"/>
      <c r="XDQ86" s="27"/>
      <c r="XDR86" s="27"/>
      <c r="XDS86" s="27"/>
      <c r="XDT86" s="27"/>
      <c r="XDU86" s="27"/>
      <c r="XDV86" s="27"/>
      <c r="XDW86" s="27"/>
      <c r="XDX86" s="27"/>
      <c r="XDY86" s="27"/>
      <c r="XDZ86" s="27"/>
      <c r="XEA86" s="27"/>
      <c r="XEB86" s="27"/>
      <c r="XEC86" s="27"/>
      <c r="XED86" s="27"/>
      <c r="XEE86" s="27"/>
      <c r="XEF86" s="27"/>
      <c r="XEG86" s="27"/>
      <c r="XEH86" s="27"/>
      <c r="XEI86" s="27"/>
      <c r="XEJ86" s="27"/>
      <c r="XEK86" s="27"/>
      <c r="XEL86" s="27"/>
      <c r="XEM86" s="27"/>
      <c r="XEN86" s="27"/>
      <c r="XEO86" s="27"/>
      <c r="XEP86" s="27"/>
      <c r="XEQ86" s="27"/>
      <c r="XER86" s="27"/>
      <c r="XES86" s="27"/>
      <c r="XET86" s="27"/>
      <c r="XEU86" s="27"/>
      <c r="XEV86" s="27"/>
      <c r="XEW86" s="27"/>
      <c r="XEX86" s="27"/>
      <c r="XEY86" s="27"/>
      <c r="XEZ86" s="27"/>
      <c r="XFA86" s="27"/>
      <c r="XFB86" s="27"/>
      <c r="XFC86" s="27"/>
    </row>
    <row r="87" spans="1:16383" ht="16.5" customHeight="1">
      <c r="A87" s="78"/>
      <c r="B87" s="138"/>
      <c r="C87" s="139"/>
      <c r="D87" s="78"/>
      <c r="E87" s="139"/>
      <c r="F87" s="140"/>
      <c r="G87" s="140"/>
      <c r="H87" s="140"/>
      <c r="I87" s="140"/>
      <c r="J87" s="140"/>
      <c r="K87" s="140"/>
    </row>
    <row r="88" spans="1:16383" ht="16.5" customHeight="1">
      <c r="A88" s="78"/>
      <c r="B88" s="138"/>
      <c r="C88" s="139"/>
      <c r="D88" s="78"/>
      <c r="E88" s="139"/>
      <c r="F88" s="140"/>
      <c r="G88" s="140"/>
      <c r="H88" s="140"/>
      <c r="I88" s="140"/>
      <c r="J88" s="140"/>
      <c r="K88" s="140"/>
    </row>
    <row r="89" spans="1:16383" ht="16.5" customHeight="1">
      <c r="A89" s="78"/>
      <c r="B89" s="138"/>
      <c r="C89" s="139"/>
      <c r="D89" s="78"/>
      <c r="E89" s="139"/>
      <c r="F89" s="140"/>
      <c r="G89" s="140"/>
      <c r="H89" s="140"/>
      <c r="I89" s="140"/>
      <c r="J89" s="140"/>
      <c r="K89" s="140"/>
    </row>
    <row r="91" spans="1:16383" ht="16.5" customHeight="1">
      <c r="B91" s="132" t="s">
        <v>40</v>
      </c>
      <c r="C91" s="134"/>
      <c r="D91" s="131">
        <v>7</v>
      </c>
    </row>
    <row r="92" spans="1:16383" ht="16.5" customHeight="1">
      <c r="B92" s="132" t="s">
        <v>41</v>
      </c>
      <c r="C92" s="134"/>
      <c r="D92" s="131">
        <v>59</v>
      </c>
    </row>
    <row r="93" spans="1:16383" ht="16.5" customHeight="1">
      <c r="B93" s="132" t="s">
        <v>42</v>
      </c>
      <c r="C93" s="134"/>
      <c r="D93" s="131">
        <v>6</v>
      </c>
      <c r="E93" s="175" t="s">
        <v>98</v>
      </c>
      <c r="F93" s="175"/>
      <c r="G93" s="175"/>
      <c r="H93" s="175"/>
      <c r="I93" s="175"/>
      <c r="J93" s="175"/>
    </row>
    <row r="94" spans="1:16383" ht="16.5" customHeight="1">
      <c r="B94" s="132" t="s">
        <v>43</v>
      </c>
      <c r="C94" s="134"/>
      <c r="D94" s="131">
        <v>9</v>
      </c>
    </row>
    <row r="95" spans="1:16383" ht="16.5" customHeight="1">
      <c r="B95" s="132" t="s">
        <v>772</v>
      </c>
      <c r="C95" s="134"/>
      <c r="D95" s="131">
        <v>0</v>
      </c>
    </row>
    <row r="96" spans="1:16383" ht="16.5" customHeight="1">
      <c r="B96" s="132" t="s">
        <v>495</v>
      </c>
      <c r="C96" s="134"/>
      <c r="D96" s="131">
        <v>0</v>
      </c>
    </row>
    <row r="97" spans="2:4" ht="16.5" customHeight="1">
      <c r="B97" s="132" t="s">
        <v>0</v>
      </c>
      <c r="C97" s="134"/>
      <c r="D97" s="15">
        <f>SUM(D91:D96)</f>
        <v>81</v>
      </c>
    </row>
  </sheetData>
  <mergeCells count="7">
    <mergeCell ref="E93:J93"/>
    <mergeCell ref="A1:L1"/>
    <mergeCell ref="A2:A3"/>
    <mergeCell ref="B2:B3"/>
    <mergeCell ref="D2:I2"/>
    <mergeCell ref="K2:K3"/>
    <mergeCell ref="J2:J3"/>
  </mergeCells>
  <pageMargins left="0.39370078740157483" right="0.19685039370078741" top="0.19685039370078741" bottom="0.19685039370078741" header="0.31496062992125984" footer="0.31496062992125984"/>
  <pageSetup paperSize="9" orientation="landscape" horizontalDpi="300" verticalDpi="300" r:id="rId1"/>
  <ignoredErrors>
    <ignoredError sqref="K4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FC365"/>
  <sheetViews>
    <sheetView topLeftCell="A311" workbookViewId="0">
      <selection activeCell="I236" sqref="I236"/>
    </sheetView>
  </sheetViews>
  <sheetFormatPr defaultColWidth="7.7109375" defaultRowHeight="16.5" customHeight="1"/>
  <cols>
    <col min="1" max="1" width="5.140625" style="3" customWidth="1"/>
    <col min="2" max="2" width="48.140625" style="3" customWidth="1"/>
    <col min="3" max="3" width="4.140625" style="1" customWidth="1"/>
    <col min="4" max="4" width="7.140625" style="1" customWidth="1"/>
    <col min="5" max="5" width="15.28515625" style="1" customWidth="1"/>
    <col min="6" max="6" width="8.7109375" style="3" customWidth="1"/>
    <col min="7" max="7" width="7.7109375" style="3"/>
    <col min="8" max="8" width="6.42578125" style="3" customWidth="1"/>
    <col min="9" max="10" width="10.28515625" style="3" customWidth="1"/>
    <col min="11" max="11" width="13.28515625" style="3" customWidth="1"/>
    <col min="12" max="16384" width="7.7109375" style="3"/>
  </cols>
  <sheetData>
    <row r="1" spans="1:11" ht="13.5" customHeight="1">
      <c r="A1" s="208" t="s">
        <v>824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</row>
    <row r="2" spans="1:11" ht="16.5" customHeight="1">
      <c r="A2" s="202" t="s">
        <v>12</v>
      </c>
      <c r="B2" s="202" t="s">
        <v>13</v>
      </c>
      <c r="C2" s="9"/>
      <c r="D2" s="202" t="s">
        <v>14</v>
      </c>
      <c r="E2" s="203"/>
      <c r="F2" s="203"/>
      <c r="G2" s="203"/>
      <c r="H2" s="203"/>
      <c r="I2" s="203"/>
      <c r="J2" s="206" t="s">
        <v>509</v>
      </c>
      <c r="K2" s="204" t="s">
        <v>15</v>
      </c>
    </row>
    <row r="3" spans="1:11" ht="18" customHeight="1">
      <c r="A3" s="203"/>
      <c r="B3" s="202"/>
      <c r="C3" s="9"/>
      <c r="D3" s="9" t="s">
        <v>3</v>
      </c>
      <c r="E3" s="9" t="s">
        <v>2</v>
      </c>
      <c r="F3" s="10" t="s">
        <v>16</v>
      </c>
      <c r="G3" s="10" t="s">
        <v>18</v>
      </c>
      <c r="H3" s="10" t="s">
        <v>17</v>
      </c>
      <c r="I3" s="10" t="s">
        <v>19</v>
      </c>
      <c r="J3" s="207"/>
      <c r="K3" s="203"/>
    </row>
    <row r="4" spans="1:11" ht="13.5" customHeight="1">
      <c r="A4" s="11">
        <v>1</v>
      </c>
      <c r="B4" s="58" t="s">
        <v>308</v>
      </c>
      <c r="C4" s="91" t="s">
        <v>309</v>
      </c>
      <c r="D4" s="91"/>
      <c r="E4" s="11" t="s">
        <v>229</v>
      </c>
      <c r="F4" s="5">
        <v>3</v>
      </c>
      <c r="G4" s="5">
        <v>1</v>
      </c>
      <c r="H4" s="5">
        <v>0.5</v>
      </c>
      <c r="I4" s="11">
        <v>0.1</v>
      </c>
      <c r="J4" s="5">
        <v>0</v>
      </c>
      <c r="K4" s="5">
        <f t="shared" ref="K4:K72" si="0">SUM(F4:J4)</f>
        <v>4.5999999999999996</v>
      </c>
    </row>
    <row r="5" spans="1:11" ht="13.5" customHeight="1">
      <c r="A5" s="11">
        <v>2</v>
      </c>
      <c r="B5" s="59" t="s">
        <v>289</v>
      </c>
      <c r="C5" s="91" t="s">
        <v>300</v>
      </c>
      <c r="D5" s="91"/>
      <c r="E5" s="11" t="s">
        <v>229</v>
      </c>
      <c r="F5" s="5">
        <v>2</v>
      </c>
      <c r="G5" s="5">
        <v>1</v>
      </c>
      <c r="H5" s="5">
        <v>3</v>
      </c>
      <c r="I5" s="11">
        <v>0.1</v>
      </c>
      <c r="J5" s="5">
        <v>0</v>
      </c>
      <c r="K5" s="5">
        <f t="shared" si="0"/>
        <v>6.1</v>
      </c>
    </row>
    <row r="6" spans="1:11" ht="13.5" customHeight="1">
      <c r="A6" s="172">
        <v>3</v>
      </c>
      <c r="B6" s="56" t="s">
        <v>112</v>
      </c>
      <c r="C6" s="21" t="s">
        <v>228</v>
      </c>
      <c r="D6" s="20">
        <v>30</v>
      </c>
      <c r="E6" s="11" t="s">
        <v>229</v>
      </c>
      <c r="F6" s="11">
        <v>38</v>
      </c>
      <c r="G6" s="11">
        <v>16</v>
      </c>
      <c r="H6" s="11">
        <v>6</v>
      </c>
      <c r="I6" s="11">
        <v>0.57999999999999996</v>
      </c>
      <c r="J6" s="11">
        <v>0</v>
      </c>
      <c r="K6" s="11">
        <f t="shared" si="0"/>
        <v>60.58</v>
      </c>
    </row>
    <row r="7" spans="1:11" ht="13.5" customHeight="1">
      <c r="A7" s="172">
        <v>4</v>
      </c>
      <c r="B7" s="56" t="s">
        <v>111</v>
      </c>
      <c r="C7" s="21" t="s">
        <v>228</v>
      </c>
      <c r="D7" s="20">
        <v>30</v>
      </c>
      <c r="E7" s="11" t="s">
        <v>229</v>
      </c>
      <c r="F7" s="11">
        <v>26</v>
      </c>
      <c r="G7" s="11">
        <v>16</v>
      </c>
      <c r="H7" s="11">
        <v>8</v>
      </c>
      <c r="I7" s="86">
        <v>0.6</v>
      </c>
      <c r="J7" s="11">
        <v>0</v>
      </c>
      <c r="K7" s="11">
        <f t="shared" si="0"/>
        <v>50.6</v>
      </c>
    </row>
    <row r="8" spans="1:11" ht="13.5" customHeight="1">
      <c r="A8" s="172">
        <v>5</v>
      </c>
      <c r="B8" s="56" t="s">
        <v>142</v>
      </c>
      <c r="C8" s="21" t="s">
        <v>228</v>
      </c>
      <c r="D8" s="20">
        <v>20</v>
      </c>
      <c r="E8" s="11" t="s">
        <v>229</v>
      </c>
      <c r="F8" s="11">
        <v>38</v>
      </c>
      <c r="G8" s="11">
        <v>17</v>
      </c>
      <c r="H8" s="11">
        <v>5</v>
      </c>
      <c r="I8" s="86">
        <v>0.4</v>
      </c>
      <c r="J8" s="11">
        <v>5</v>
      </c>
      <c r="K8" s="11">
        <f t="shared" si="0"/>
        <v>65.400000000000006</v>
      </c>
    </row>
    <row r="9" spans="1:11" ht="13.5" customHeight="1">
      <c r="A9" s="172">
        <v>6</v>
      </c>
      <c r="B9" s="59" t="s">
        <v>299</v>
      </c>
      <c r="C9" s="91" t="s">
        <v>300</v>
      </c>
      <c r="D9" s="91"/>
      <c r="E9" s="11" t="s">
        <v>229</v>
      </c>
      <c r="F9" s="5">
        <v>2</v>
      </c>
      <c r="G9" s="5">
        <v>0.5</v>
      </c>
      <c r="H9" s="5">
        <v>1</v>
      </c>
      <c r="I9" s="86">
        <v>0.1</v>
      </c>
      <c r="J9" s="5">
        <v>0</v>
      </c>
      <c r="K9" s="5">
        <f t="shared" si="0"/>
        <v>3.6</v>
      </c>
    </row>
    <row r="10" spans="1:11" ht="13.5" customHeight="1">
      <c r="A10" s="172">
        <v>7</v>
      </c>
      <c r="B10" s="56" t="s">
        <v>140</v>
      </c>
      <c r="C10" s="21" t="s">
        <v>228</v>
      </c>
      <c r="D10" s="20">
        <v>20</v>
      </c>
      <c r="E10" s="11" t="s">
        <v>229</v>
      </c>
      <c r="F10" s="11">
        <v>18</v>
      </c>
      <c r="G10" s="11">
        <v>11</v>
      </c>
      <c r="H10" s="11">
        <v>6</v>
      </c>
      <c r="I10" s="86">
        <v>0.5</v>
      </c>
      <c r="J10" s="11">
        <v>4</v>
      </c>
      <c r="K10" s="11">
        <f t="shared" si="0"/>
        <v>39.5</v>
      </c>
    </row>
    <row r="11" spans="1:11" ht="13.5" customHeight="1">
      <c r="A11" s="172">
        <v>8</v>
      </c>
      <c r="B11" s="56" t="s">
        <v>131</v>
      </c>
      <c r="C11" s="21" t="s">
        <v>228</v>
      </c>
      <c r="D11" s="20">
        <v>28</v>
      </c>
      <c r="E11" s="11" t="s">
        <v>229</v>
      </c>
      <c r="F11" s="11">
        <v>22</v>
      </c>
      <c r="G11" s="11">
        <v>18</v>
      </c>
      <c r="H11" s="11">
        <v>5</v>
      </c>
      <c r="I11" s="86">
        <v>0.6</v>
      </c>
      <c r="J11" s="11">
        <v>6</v>
      </c>
      <c r="K11" s="11">
        <f t="shared" si="0"/>
        <v>51.6</v>
      </c>
    </row>
    <row r="12" spans="1:11" ht="13.5" customHeight="1">
      <c r="A12" s="172">
        <v>9</v>
      </c>
      <c r="B12" s="56" t="s">
        <v>149</v>
      </c>
      <c r="C12" s="21" t="s">
        <v>228</v>
      </c>
      <c r="D12" s="20">
        <v>15</v>
      </c>
      <c r="E12" s="11" t="s">
        <v>229</v>
      </c>
      <c r="F12" s="11">
        <v>14</v>
      </c>
      <c r="G12" s="11">
        <v>11</v>
      </c>
      <c r="H12" s="11">
        <v>5</v>
      </c>
      <c r="I12" s="86">
        <v>0.2</v>
      </c>
      <c r="J12" s="11">
        <v>3</v>
      </c>
      <c r="K12" s="11">
        <f t="shared" si="0"/>
        <v>33.200000000000003</v>
      </c>
    </row>
    <row r="13" spans="1:11" ht="13.5" customHeight="1">
      <c r="A13" s="172">
        <v>10</v>
      </c>
      <c r="B13" s="56" t="s">
        <v>155</v>
      </c>
      <c r="C13" s="21" t="s">
        <v>228</v>
      </c>
      <c r="D13" s="20">
        <v>13</v>
      </c>
      <c r="E13" s="11" t="s">
        <v>229</v>
      </c>
      <c r="F13" s="11">
        <v>9</v>
      </c>
      <c r="G13" s="11">
        <v>7</v>
      </c>
      <c r="H13" s="11">
        <v>3</v>
      </c>
      <c r="I13" s="86">
        <v>0.3</v>
      </c>
      <c r="J13" s="11">
        <v>0</v>
      </c>
      <c r="K13" s="11">
        <f t="shared" si="0"/>
        <v>19.3</v>
      </c>
    </row>
    <row r="14" spans="1:11" ht="13.5" customHeight="1">
      <c r="A14" s="172">
        <v>11</v>
      </c>
      <c r="B14" s="19" t="s">
        <v>312</v>
      </c>
      <c r="C14" s="131" t="s">
        <v>651</v>
      </c>
      <c r="D14" s="91"/>
      <c r="E14" s="11" t="s">
        <v>229</v>
      </c>
      <c r="F14" s="5">
        <v>1</v>
      </c>
      <c r="G14" s="5">
        <v>4</v>
      </c>
      <c r="H14" s="5"/>
      <c r="I14" s="84">
        <v>0.1</v>
      </c>
      <c r="J14" s="5">
        <v>0</v>
      </c>
      <c r="K14" s="5">
        <f t="shared" si="0"/>
        <v>5.0999999999999996</v>
      </c>
    </row>
    <row r="15" spans="1:11" ht="13.5" customHeight="1">
      <c r="A15" s="172">
        <v>12</v>
      </c>
      <c r="B15" s="58" t="s">
        <v>280</v>
      </c>
      <c r="C15" s="91" t="s">
        <v>309</v>
      </c>
      <c r="D15" s="91"/>
      <c r="E15" s="11" t="s">
        <v>229</v>
      </c>
      <c r="F15" s="5">
        <v>2</v>
      </c>
      <c r="G15" s="5">
        <v>0.1</v>
      </c>
      <c r="H15" s="5">
        <v>0.5</v>
      </c>
      <c r="I15" s="84">
        <v>0.1</v>
      </c>
      <c r="J15" s="5">
        <v>0</v>
      </c>
      <c r="K15" s="5">
        <f t="shared" si="0"/>
        <v>2.7</v>
      </c>
    </row>
    <row r="16" spans="1:11" ht="13.5" customHeight="1">
      <c r="A16" s="172">
        <v>13</v>
      </c>
      <c r="B16" s="56" t="s">
        <v>218</v>
      </c>
      <c r="C16" s="21" t="s">
        <v>228</v>
      </c>
      <c r="D16" s="20">
        <v>4</v>
      </c>
      <c r="E16" s="11" t="s">
        <v>229</v>
      </c>
      <c r="F16" s="5">
        <v>10</v>
      </c>
      <c r="G16" s="5">
        <v>6</v>
      </c>
      <c r="H16" s="5">
        <v>2</v>
      </c>
      <c r="I16" s="84">
        <v>0.2</v>
      </c>
      <c r="J16" s="5">
        <v>4</v>
      </c>
      <c r="K16" s="5">
        <f t="shared" si="0"/>
        <v>22.2</v>
      </c>
    </row>
    <row r="17" spans="1:11" ht="13.5" customHeight="1">
      <c r="A17" s="172">
        <v>14</v>
      </c>
      <c r="B17" s="19" t="s">
        <v>330</v>
      </c>
      <c r="C17" s="131" t="s">
        <v>651</v>
      </c>
      <c r="D17" s="91"/>
      <c r="E17" s="11" t="s">
        <v>229</v>
      </c>
      <c r="F17" s="5">
        <v>3</v>
      </c>
      <c r="G17" s="5">
        <v>3</v>
      </c>
      <c r="H17" s="5"/>
      <c r="I17" s="84">
        <v>0.1</v>
      </c>
      <c r="J17" s="5">
        <v>0</v>
      </c>
      <c r="K17" s="5">
        <f t="shared" si="0"/>
        <v>6.1</v>
      </c>
    </row>
    <row r="18" spans="1:11" ht="13.5" customHeight="1">
      <c r="A18" s="172">
        <v>15</v>
      </c>
      <c r="B18" s="56" t="s">
        <v>128</v>
      </c>
      <c r="C18" s="21" t="s">
        <v>228</v>
      </c>
      <c r="D18" s="20">
        <v>29</v>
      </c>
      <c r="E18" s="11" t="s">
        <v>229</v>
      </c>
      <c r="F18" s="11">
        <v>18</v>
      </c>
      <c r="G18" s="11">
        <v>18</v>
      </c>
      <c r="H18" s="11">
        <v>4</v>
      </c>
      <c r="I18" s="84">
        <v>0.6</v>
      </c>
      <c r="J18" s="11">
        <v>5</v>
      </c>
      <c r="K18" s="11">
        <f t="shared" si="0"/>
        <v>45.6</v>
      </c>
    </row>
    <row r="19" spans="1:11" ht="13.5" customHeight="1">
      <c r="A19" s="172">
        <v>16</v>
      </c>
      <c r="B19" s="56" t="s">
        <v>643</v>
      </c>
      <c r="C19" s="21" t="s">
        <v>228</v>
      </c>
      <c r="D19" s="20">
        <v>28</v>
      </c>
      <c r="E19" s="11" t="s">
        <v>229</v>
      </c>
      <c r="F19" s="11">
        <v>24</v>
      </c>
      <c r="G19" s="11">
        <v>13</v>
      </c>
      <c r="H19" s="11">
        <v>5</v>
      </c>
      <c r="I19" s="84">
        <v>0.5</v>
      </c>
      <c r="J19" s="11">
        <v>5</v>
      </c>
      <c r="K19" s="11">
        <f t="shared" si="0"/>
        <v>47.5</v>
      </c>
    </row>
    <row r="20" spans="1:11" ht="13.5" customHeight="1">
      <c r="A20" s="172">
        <v>17</v>
      </c>
      <c r="B20" s="44" t="s">
        <v>134</v>
      </c>
      <c r="C20" s="21" t="s">
        <v>228</v>
      </c>
      <c r="D20" s="20">
        <v>20</v>
      </c>
      <c r="E20" s="11" t="s">
        <v>229</v>
      </c>
      <c r="F20" s="11">
        <v>22</v>
      </c>
      <c r="G20" s="11">
        <v>13</v>
      </c>
      <c r="H20" s="11">
        <v>6</v>
      </c>
      <c r="I20" s="131">
        <v>0.4</v>
      </c>
      <c r="J20" s="11">
        <v>3</v>
      </c>
      <c r="K20" s="11">
        <f t="shared" si="0"/>
        <v>44.4</v>
      </c>
    </row>
    <row r="21" spans="1:11" ht="13.5" customHeight="1">
      <c r="A21" s="172">
        <v>18</v>
      </c>
      <c r="B21" s="58" t="s">
        <v>7</v>
      </c>
      <c r="C21" s="91" t="s">
        <v>300</v>
      </c>
      <c r="D21" s="91"/>
      <c r="E21" s="11" t="s">
        <v>229</v>
      </c>
      <c r="F21" s="5">
        <v>3</v>
      </c>
      <c r="G21" s="5">
        <v>2</v>
      </c>
      <c r="H21" s="5">
        <v>2</v>
      </c>
      <c r="I21" s="84">
        <v>0.1</v>
      </c>
      <c r="J21" s="5">
        <v>0</v>
      </c>
      <c r="K21" s="5">
        <f t="shared" si="0"/>
        <v>7.1</v>
      </c>
    </row>
    <row r="22" spans="1:11" ht="13.5" customHeight="1">
      <c r="A22" s="172">
        <v>19</v>
      </c>
      <c r="B22" s="45" t="s">
        <v>154</v>
      </c>
      <c r="C22" s="21" t="s">
        <v>228</v>
      </c>
      <c r="D22" s="46">
        <v>15</v>
      </c>
      <c r="E22" s="11" t="s">
        <v>229</v>
      </c>
      <c r="F22" s="11">
        <v>8</v>
      </c>
      <c r="G22" s="11">
        <v>9</v>
      </c>
      <c r="H22" s="11">
        <v>4</v>
      </c>
      <c r="I22" s="84">
        <v>0.3</v>
      </c>
      <c r="J22" s="11">
        <v>4</v>
      </c>
      <c r="K22" s="11">
        <f t="shared" si="0"/>
        <v>25.3</v>
      </c>
    </row>
    <row r="23" spans="1:11" ht="13.5" customHeight="1">
      <c r="A23" s="172">
        <v>20</v>
      </c>
      <c r="B23" s="59" t="s">
        <v>298</v>
      </c>
      <c r="C23" s="91" t="s">
        <v>300</v>
      </c>
      <c r="D23" s="91"/>
      <c r="E23" s="11" t="s">
        <v>229</v>
      </c>
      <c r="F23" s="5">
        <v>3</v>
      </c>
      <c r="G23" s="5">
        <v>0</v>
      </c>
      <c r="H23" s="5">
        <v>1</v>
      </c>
      <c r="I23" s="84">
        <v>0.1</v>
      </c>
      <c r="J23" s="5">
        <v>0</v>
      </c>
      <c r="K23" s="5">
        <f t="shared" si="0"/>
        <v>4.0999999999999996</v>
      </c>
    </row>
    <row r="24" spans="1:11" ht="13.5" customHeight="1">
      <c r="A24" s="172">
        <v>21</v>
      </c>
      <c r="B24" s="92" t="s">
        <v>493</v>
      </c>
      <c r="C24" s="21" t="s">
        <v>228</v>
      </c>
      <c r="D24" s="20">
        <v>30</v>
      </c>
      <c r="E24" s="11" t="s">
        <v>229</v>
      </c>
      <c r="F24" s="11">
        <v>18</v>
      </c>
      <c r="G24" s="11">
        <v>19</v>
      </c>
      <c r="H24" s="11">
        <v>6</v>
      </c>
      <c r="I24" s="84">
        <v>0.5</v>
      </c>
      <c r="J24" s="11">
        <v>5</v>
      </c>
      <c r="K24" s="11">
        <f t="shared" si="0"/>
        <v>48.5</v>
      </c>
    </row>
    <row r="25" spans="1:11" ht="13.5" customHeight="1">
      <c r="A25" s="172">
        <v>22</v>
      </c>
      <c r="B25" s="58" t="s">
        <v>264</v>
      </c>
      <c r="C25" s="91" t="s">
        <v>300</v>
      </c>
      <c r="D25" s="91"/>
      <c r="E25" s="11" t="s">
        <v>229</v>
      </c>
      <c r="F25" s="5">
        <v>1</v>
      </c>
      <c r="G25" s="5">
        <v>1</v>
      </c>
      <c r="H25" s="5">
        <v>2</v>
      </c>
      <c r="I25" s="84">
        <v>0.1</v>
      </c>
      <c r="J25" s="5">
        <v>3</v>
      </c>
      <c r="K25" s="5">
        <f t="shared" si="0"/>
        <v>7.1</v>
      </c>
    </row>
    <row r="26" spans="1:11" ht="13.5" customHeight="1">
      <c r="A26" s="172">
        <v>23</v>
      </c>
      <c r="B26" s="19" t="s">
        <v>319</v>
      </c>
      <c r="C26" s="91" t="s">
        <v>340</v>
      </c>
      <c r="D26" s="91"/>
      <c r="E26" s="11" t="s">
        <v>229</v>
      </c>
      <c r="F26" s="5">
        <v>2</v>
      </c>
      <c r="G26" s="5">
        <v>3</v>
      </c>
      <c r="H26" s="5"/>
      <c r="I26" s="84">
        <v>0.1</v>
      </c>
      <c r="J26" s="5">
        <v>0</v>
      </c>
      <c r="K26" s="5">
        <f t="shared" si="0"/>
        <v>5.0999999999999996</v>
      </c>
    </row>
    <row r="27" spans="1:11" ht="13.5" customHeight="1">
      <c r="A27" s="172">
        <v>24</v>
      </c>
      <c r="B27" s="58" t="s">
        <v>278</v>
      </c>
      <c r="C27" s="91" t="s">
        <v>300</v>
      </c>
      <c r="D27" s="91"/>
      <c r="E27" s="11" t="s">
        <v>229</v>
      </c>
      <c r="F27" s="5">
        <v>2</v>
      </c>
      <c r="G27" s="5">
        <v>3</v>
      </c>
      <c r="H27" s="5">
        <v>2</v>
      </c>
      <c r="I27" s="84">
        <v>0.1</v>
      </c>
      <c r="J27" s="5">
        <v>0</v>
      </c>
      <c r="K27" s="5">
        <f t="shared" si="0"/>
        <v>7.1</v>
      </c>
    </row>
    <row r="28" spans="1:11" ht="13.5" customHeight="1">
      <c r="A28" s="172">
        <v>25</v>
      </c>
      <c r="B28" s="56" t="s">
        <v>145</v>
      </c>
      <c r="C28" s="21" t="s">
        <v>228</v>
      </c>
      <c r="D28" s="20">
        <v>18</v>
      </c>
      <c r="E28" s="11" t="s">
        <v>229</v>
      </c>
      <c r="F28" s="11">
        <v>19</v>
      </c>
      <c r="G28" s="11">
        <v>18</v>
      </c>
      <c r="H28" s="11">
        <v>9</v>
      </c>
      <c r="I28" s="131">
        <v>0.2</v>
      </c>
      <c r="J28" s="11">
        <v>3</v>
      </c>
      <c r="K28" s="11">
        <f t="shared" si="0"/>
        <v>49.2</v>
      </c>
    </row>
    <row r="29" spans="1:11" ht="13.5" customHeight="1">
      <c r="A29" s="172">
        <v>26</v>
      </c>
      <c r="B29" s="19" t="s">
        <v>116</v>
      </c>
      <c r="C29" s="21" t="s">
        <v>228</v>
      </c>
      <c r="D29" s="20">
        <v>30</v>
      </c>
      <c r="E29" s="11" t="s">
        <v>229</v>
      </c>
      <c r="F29" s="11">
        <v>21</v>
      </c>
      <c r="G29" s="11">
        <v>14</v>
      </c>
      <c r="H29" s="11">
        <v>5</v>
      </c>
      <c r="I29" s="84">
        <v>0.6</v>
      </c>
      <c r="J29" s="11">
        <v>0</v>
      </c>
      <c r="K29" s="11">
        <f t="shared" si="0"/>
        <v>40.6</v>
      </c>
    </row>
    <row r="30" spans="1:11" ht="13.5" customHeight="1">
      <c r="A30" s="172">
        <v>27</v>
      </c>
      <c r="B30" s="56" t="s">
        <v>170</v>
      </c>
      <c r="C30" s="21" t="s">
        <v>228</v>
      </c>
      <c r="D30" s="20">
        <v>10</v>
      </c>
      <c r="E30" s="11" t="s">
        <v>229</v>
      </c>
      <c r="F30" s="11">
        <v>10</v>
      </c>
      <c r="G30" s="11">
        <v>8</v>
      </c>
      <c r="H30" s="11">
        <v>9</v>
      </c>
      <c r="I30" s="84">
        <v>0.2</v>
      </c>
      <c r="J30" s="11">
        <v>5</v>
      </c>
      <c r="K30" s="11">
        <f t="shared" si="0"/>
        <v>32.200000000000003</v>
      </c>
    </row>
    <row r="31" spans="1:11" ht="13.5" customHeight="1">
      <c r="A31" s="172">
        <v>28</v>
      </c>
      <c r="B31" s="59" t="s">
        <v>294</v>
      </c>
      <c r="C31" s="91" t="s">
        <v>309</v>
      </c>
      <c r="D31" s="91"/>
      <c r="E31" s="11" t="s">
        <v>229</v>
      </c>
      <c r="F31" s="5">
        <v>2</v>
      </c>
      <c r="G31" s="5">
        <v>0.2</v>
      </c>
      <c r="H31" s="5">
        <v>0.2</v>
      </c>
      <c r="I31" s="84">
        <v>0.1</v>
      </c>
      <c r="J31" s="5">
        <v>0</v>
      </c>
      <c r="K31" s="5">
        <f t="shared" si="0"/>
        <v>2.5000000000000004</v>
      </c>
    </row>
    <row r="32" spans="1:11" ht="13.5" customHeight="1">
      <c r="A32" s="172">
        <v>29</v>
      </c>
      <c r="B32" s="56" t="s">
        <v>191</v>
      </c>
      <c r="C32" s="21" t="s">
        <v>228</v>
      </c>
      <c r="D32" s="20">
        <v>7</v>
      </c>
      <c r="E32" s="11" t="s">
        <v>229</v>
      </c>
      <c r="F32" s="11">
        <v>14</v>
      </c>
      <c r="G32" s="11">
        <v>6</v>
      </c>
      <c r="H32" s="173" t="s">
        <v>826</v>
      </c>
      <c r="I32" s="84">
        <v>0.2</v>
      </c>
      <c r="J32" s="11">
        <v>5</v>
      </c>
      <c r="K32" s="11">
        <f t="shared" si="0"/>
        <v>25.2</v>
      </c>
    </row>
    <row r="33" spans="1:11" ht="13.5" customHeight="1">
      <c r="A33" s="172">
        <v>30</v>
      </c>
      <c r="B33" s="58" t="s">
        <v>20</v>
      </c>
      <c r="C33" s="91" t="s">
        <v>300</v>
      </c>
      <c r="D33" s="91"/>
      <c r="E33" s="11" t="s">
        <v>229</v>
      </c>
      <c r="F33" s="5">
        <v>2</v>
      </c>
      <c r="G33" s="5">
        <v>2</v>
      </c>
      <c r="H33" s="5">
        <v>3</v>
      </c>
      <c r="I33" s="84">
        <v>0.1</v>
      </c>
      <c r="J33" s="5">
        <v>0</v>
      </c>
      <c r="K33" s="5">
        <f t="shared" si="0"/>
        <v>7.1</v>
      </c>
    </row>
    <row r="34" spans="1:11" ht="13.5" customHeight="1">
      <c r="A34" s="172">
        <v>31</v>
      </c>
      <c r="B34" s="56" t="s">
        <v>213</v>
      </c>
      <c r="C34" s="21" t="s">
        <v>228</v>
      </c>
      <c r="D34" s="20">
        <v>4</v>
      </c>
      <c r="E34" s="11" t="s">
        <v>229</v>
      </c>
      <c r="F34" s="5">
        <v>10</v>
      </c>
      <c r="G34" s="5">
        <v>2</v>
      </c>
      <c r="H34" s="5">
        <v>1</v>
      </c>
      <c r="I34" s="84">
        <v>0.2</v>
      </c>
      <c r="J34" s="5">
        <v>4</v>
      </c>
      <c r="K34" s="5">
        <f t="shared" si="0"/>
        <v>17.2</v>
      </c>
    </row>
    <row r="35" spans="1:11" ht="13.5" customHeight="1">
      <c r="A35" s="172">
        <v>32</v>
      </c>
      <c r="B35" s="56" t="s">
        <v>133</v>
      </c>
      <c r="C35" s="21" t="s">
        <v>228</v>
      </c>
      <c r="D35" s="20">
        <v>20</v>
      </c>
      <c r="E35" s="11" t="s">
        <v>229</v>
      </c>
      <c r="F35" s="11">
        <v>26</v>
      </c>
      <c r="G35" s="11">
        <v>14</v>
      </c>
      <c r="H35" s="11">
        <v>5</v>
      </c>
      <c r="I35" s="131">
        <v>0.4</v>
      </c>
      <c r="J35" s="11">
        <v>5</v>
      </c>
      <c r="K35" s="11">
        <f t="shared" si="0"/>
        <v>50.4</v>
      </c>
    </row>
    <row r="36" spans="1:11" ht="13.5" customHeight="1">
      <c r="A36" s="172">
        <v>33</v>
      </c>
      <c r="B36" s="56" t="s">
        <v>99</v>
      </c>
      <c r="C36" s="21" t="s">
        <v>228</v>
      </c>
      <c r="D36" s="20">
        <v>600</v>
      </c>
      <c r="E36" s="11" t="s">
        <v>229</v>
      </c>
      <c r="F36" s="11">
        <v>845</v>
      </c>
      <c r="G36" s="11">
        <v>430</v>
      </c>
      <c r="H36" s="11">
        <v>90</v>
      </c>
      <c r="I36" s="84">
        <v>0.9</v>
      </c>
      <c r="J36" s="11">
        <v>0</v>
      </c>
      <c r="K36" s="11">
        <f t="shared" si="0"/>
        <v>1365.9</v>
      </c>
    </row>
    <row r="37" spans="1:11" ht="13.5" customHeight="1">
      <c r="A37" s="172">
        <v>34</v>
      </c>
      <c r="B37" s="58" t="s">
        <v>265</v>
      </c>
      <c r="C37" s="91" t="s">
        <v>300</v>
      </c>
      <c r="D37" s="91"/>
      <c r="E37" s="11" t="s">
        <v>229</v>
      </c>
      <c r="F37" s="5">
        <v>2</v>
      </c>
      <c r="G37" s="5">
        <v>3</v>
      </c>
      <c r="H37" s="5">
        <v>2</v>
      </c>
      <c r="I37" s="84">
        <v>0.1</v>
      </c>
      <c r="J37" s="5">
        <v>0</v>
      </c>
      <c r="K37" s="5">
        <f t="shared" si="0"/>
        <v>7.1</v>
      </c>
    </row>
    <row r="38" spans="1:11" ht="13.5" customHeight="1">
      <c r="A38" s="172">
        <v>35</v>
      </c>
      <c r="B38" s="166" t="s">
        <v>802</v>
      </c>
      <c r="C38" s="167" t="s">
        <v>228</v>
      </c>
      <c r="D38" s="167">
        <v>5</v>
      </c>
      <c r="E38" s="167" t="s">
        <v>229</v>
      </c>
      <c r="F38" s="5">
        <v>6</v>
      </c>
      <c r="G38" s="5">
        <v>4</v>
      </c>
      <c r="H38" s="5">
        <v>2</v>
      </c>
      <c r="I38" s="167">
        <v>0.5</v>
      </c>
      <c r="J38" s="5">
        <v>5</v>
      </c>
      <c r="K38" s="5">
        <f t="shared" ref="K38" si="1">SUM(F38:J38)</f>
        <v>17.5</v>
      </c>
    </row>
    <row r="39" spans="1:11" ht="13.5" customHeight="1">
      <c r="A39" s="172">
        <v>36</v>
      </c>
      <c r="B39" s="56" t="s">
        <v>120</v>
      </c>
      <c r="C39" s="21" t="s">
        <v>228</v>
      </c>
      <c r="D39" s="20">
        <v>30</v>
      </c>
      <c r="E39" s="76" t="s">
        <v>229</v>
      </c>
      <c r="F39" s="76">
        <v>10</v>
      </c>
      <c r="G39" s="76">
        <v>19</v>
      </c>
      <c r="H39" s="76">
        <v>6</v>
      </c>
      <c r="I39" s="84">
        <v>0.5</v>
      </c>
      <c r="J39" s="76">
        <v>0</v>
      </c>
      <c r="K39" s="76">
        <f t="shared" si="0"/>
        <v>35.5</v>
      </c>
    </row>
    <row r="40" spans="1:11" ht="13.5" customHeight="1">
      <c r="A40" s="172">
        <v>37</v>
      </c>
      <c r="B40" s="56" t="s">
        <v>115</v>
      </c>
      <c r="C40" s="21" t="s">
        <v>228</v>
      </c>
      <c r="D40" s="20">
        <v>30</v>
      </c>
      <c r="E40" s="80" t="s">
        <v>229</v>
      </c>
      <c r="F40" s="80">
        <v>32</v>
      </c>
      <c r="G40" s="80">
        <v>18</v>
      </c>
      <c r="H40" s="80">
        <v>8</v>
      </c>
      <c r="I40" s="84">
        <v>0.4</v>
      </c>
      <c r="J40" s="80">
        <v>0</v>
      </c>
      <c r="K40" s="80">
        <f t="shared" si="0"/>
        <v>58.4</v>
      </c>
    </row>
    <row r="41" spans="1:11" ht="13.5" customHeight="1">
      <c r="A41" s="172">
        <v>38</v>
      </c>
      <c r="B41" s="19" t="s">
        <v>323</v>
      </c>
      <c r="C41" s="91" t="s">
        <v>340</v>
      </c>
      <c r="D41" s="91"/>
      <c r="E41" s="11" t="s">
        <v>229</v>
      </c>
      <c r="F41" s="5">
        <v>3</v>
      </c>
      <c r="G41" s="5">
        <v>4</v>
      </c>
      <c r="H41" s="5"/>
      <c r="I41" s="84">
        <v>0.1</v>
      </c>
      <c r="J41" s="5">
        <v>0</v>
      </c>
      <c r="K41" s="5">
        <f t="shared" si="0"/>
        <v>7.1</v>
      </c>
    </row>
    <row r="42" spans="1:11" ht="13.5" customHeight="1">
      <c r="A42" s="172">
        <v>39</v>
      </c>
      <c r="B42" s="166" t="s">
        <v>804</v>
      </c>
      <c r="C42" s="167" t="s">
        <v>300</v>
      </c>
      <c r="D42" s="167"/>
      <c r="E42" s="167" t="s">
        <v>229</v>
      </c>
      <c r="F42" s="5">
        <v>2</v>
      </c>
      <c r="G42" s="5">
        <v>3</v>
      </c>
      <c r="H42" s="5">
        <v>2</v>
      </c>
      <c r="I42" s="167">
        <v>0.1</v>
      </c>
      <c r="J42" s="5">
        <v>0</v>
      </c>
      <c r="K42" s="5">
        <f t="shared" ref="K42" si="2">SUM(F42:J42)</f>
        <v>7.1</v>
      </c>
    </row>
    <row r="43" spans="1:11" ht="13.5" customHeight="1">
      <c r="A43" s="172">
        <v>40</v>
      </c>
      <c r="B43" s="58" t="s">
        <v>260</v>
      </c>
      <c r="C43" s="91" t="s">
        <v>300</v>
      </c>
      <c r="D43" s="91"/>
      <c r="E43" s="11" t="s">
        <v>229</v>
      </c>
      <c r="F43" s="5">
        <v>1</v>
      </c>
      <c r="G43" s="5">
        <v>2</v>
      </c>
      <c r="H43" s="5">
        <v>2</v>
      </c>
      <c r="I43" s="173">
        <v>0.1</v>
      </c>
      <c r="J43" s="5">
        <v>0</v>
      </c>
      <c r="K43" s="5">
        <f t="shared" si="0"/>
        <v>5.0999999999999996</v>
      </c>
    </row>
    <row r="44" spans="1:11" ht="13.5" customHeight="1">
      <c r="A44" s="172">
        <v>41</v>
      </c>
      <c r="B44" s="58" t="s">
        <v>247</v>
      </c>
      <c r="C44" s="91" t="s">
        <v>300</v>
      </c>
      <c r="D44" s="91"/>
      <c r="E44" s="11" t="s">
        <v>229</v>
      </c>
      <c r="F44" s="5">
        <v>3</v>
      </c>
      <c r="G44" s="5">
        <v>2</v>
      </c>
      <c r="H44" s="5">
        <v>2</v>
      </c>
      <c r="I44" s="84">
        <v>0.1</v>
      </c>
      <c r="J44" s="5">
        <v>0</v>
      </c>
      <c r="K44" s="5">
        <f t="shared" si="0"/>
        <v>7.1</v>
      </c>
    </row>
    <row r="45" spans="1:11" ht="13.5" customHeight="1">
      <c r="A45" s="172">
        <v>42</v>
      </c>
      <c r="B45" s="166" t="s">
        <v>797</v>
      </c>
      <c r="C45" s="164" t="s">
        <v>651</v>
      </c>
      <c r="D45" s="164"/>
      <c r="E45" s="164" t="s">
        <v>229</v>
      </c>
      <c r="F45" s="5">
        <v>2</v>
      </c>
      <c r="G45" s="5">
        <v>3</v>
      </c>
      <c r="H45" s="5"/>
      <c r="I45" s="164">
        <v>0.1</v>
      </c>
      <c r="J45" s="5">
        <v>0</v>
      </c>
      <c r="K45" s="5">
        <f t="shared" ref="K45" si="3">SUM(F45:J45)</f>
        <v>5.0999999999999996</v>
      </c>
    </row>
    <row r="46" spans="1:11" ht="13.5" customHeight="1">
      <c r="A46" s="172">
        <v>43</v>
      </c>
      <c r="B46" s="19" t="s">
        <v>639</v>
      </c>
      <c r="C46" s="21" t="s">
        <v>228</v>
      </c>
      <c r="D46" s="20">
        <v>4</v>
      </c>
      <c r="E46" s="11" t="s">
        <v>229</v>
      </c>
      <c r="F46" s="5">
        <v>6</v>
      </c>
      <c r="G46" s="5">
        <v>4</v>
      </c>
      <c r="H46" s="5">
        <v>2</v>
      </c>
      <c r="I46" s="84">
        <v>0.2</v>
      </c>
      <c r="J46" s="5">
        <v>5</v>
      </c>
      <c r="K46" s="5">
        <f t="shared" si="0"/>
        <v>17.2</v>
      </c>
    </row>
    <row r="47" spans="1:11" ht="13.5" customHeight="1">
      <c r="A47" s="172">
        <v>44</v>
      </c>
      <c r="B47" s="58" t="s">
        <v>245</v>
      </c>
      <c r="C47" s="91" t="s">
        <v>300</v>
      </c>
      <c r="D47" s="91"/>
      <c r="E47" s="80" t="s">
        <v>229</v>
      </c>
      <c r="F47" s="5">
        <v>2</v>
      </c>
      <c r="G47" s="5">
        <v>2</v>
      </c>
      <c r="H47" s="5">
        <v>1</v>
      </c>
      <c r="I47" s="84">
        <v>0.1</v>
      </c>
      <c r="J47" s="5">
        <v>0</v>
      </c>
      <c r="K47" s="5">
        <f t="shared" si="0"/>
        <v>5.0999999999999996</v>
      </c>
    </row>
    <row r="48" spans="1:11" ht="13.5" customHeight="1">
      <c r="A48" s="172">
        <v>45</v>
      </c>
      <c r="B48" s="56" t="s">
        <v>164</v>
      </c>
      <c r="C48" s="21" t="s">
        <v>228</v>
      </c>
      <c r="D48" s="20">
        <v>10</v>
      </c>
      <c r="E48" s="11" t="s">
        <v>229</v>
      </c>
      <c r="F48" s="11">
        <v>5</v>
      </c>
      <c r="G48" s="11">
        <v>6</v>
      </c>
      <c r="H48" s="11">
        <v>2</v>
      </c>
      <c r="I48" s="84">
        <v>0.3</v>
      </c>
      <c r="J48" s="11">
        <v>4</v>
      </c>
      <c r="K48" s="11">
        <f t="shared" si="0"/>
        <v>17.3</v>
      </c>
    </row>
    <row r="49" spans="1:11" ht="13.5" customHeight="1">
      <c r="A49" s="172">
        <v>46</v>
      </c>
      <c r="B49" s="166" t="s">
        <v>811</v>
      </c>
      <c r="C49" s="21" t="s">
        <v>300</v>
      </c>
      <c r="D49" s="20"/>
      <c r="E49" s="168" t="s">
        <v>229</v>
      </c>
      <c r="F49" s="5">
        <v>2</v>
      </c>
      <c r="G49" s="5">
        <v>2</v>
      </c>
      <c r="H49" s="5">
        <v>1</v>
      </c>
      <c r="I49" s="168">
        <v>0.1</v>
      </c>
      <c r="J49" s="5">
        <v>0</v>
      </c>
      <c r="K49" s="5">
        <f t="shared" ref="K49" si="4">SUM(F49:J49)</f>
        <v>5.0999999999999996</v>
      </c>
    </row>
    <row r="50" spans="1:11" ht="13.5" customHeight="1">
      <c r="A50" s="172">
        <v>47</v>
      </c>
      <c r="B50" s="56" t="s">
        <v>139</v>
      </c>
      <c r="C50" s="21" t="s">
        <v>228</v>
      </c>
      <c r="D50" s="20">
        <v>20</v>
      </c>
      <c r="E50" s="76" t="s">
        <v>229</v>
      </c>
      <c r="F50" s="76">
        <v>16</v>
      </c>
      <c r="G50" s="76">
        <v>16</v>
      </c>
      <c r="H50" s="76">
        <v>4</v>
      </c>
      <c r="I50" s="87">
        <v>0.4</v>
      </c>
      <c r="J50" s="76">
        <v>5</v>
      </c>
      <c r="K50" s="76">
        <f t="shared" si="0"/>
        <v>41.4</v>
      </c>
    </row>
    <row r="51" spans="1:11" ht="13.5" customHeight="1">
      <c r="A51" s="172">
        <v>48</v>
      </c>
      <c r="B51" s="19" t="s">
        <v>130</v>
      </c>
      <c r="C51" s="21" t="s">
        <v>228</v>
      </c>
      <c r="D51" s="20">
        <v>28</v>
      </c>
      <c r="E51" s="11" t="s">
        <v>229</v>
      </c>
      <c r="F51" s="11">
        <v>26</v>
      </c>
      <c r="G51" s="11">
        <v>18</v>
      </c>
      <c r="H51" s="11">
        <v>5</v>
      </c>
      <c r="I51" s="131">
        <v>0.5</v>
      </c>
      <c r="J51" s="11">
        <v>3</v>
      </c>
      <c r="K51" s="11">
        <f t="shared" si="0"/>
        <v>52.5</v>
      </c>
    </row>
    <row r="52" spans="1:11" ht="13.5" customHeight="1">
      <c r="A52" s="172">
        <v>49</v>
      </c>
      <c r="B52" s="92" t="s">
        <v>107</v>
      </c>
      <c r="C52" s="21" t="s">
        <v>228</v>
      </c>
      <c r="D52" s="20">
        <v>50</v>
      </c>
      <c r="E52" s="11" t="s">
        <v>229</v>
      </c>
      <c r="F52" s="11">
        <v>34</v>
      </c>
      <c r="G52" s="11">
        <v>21</v>
      </c>
      <c r="H52" s="11">
        <v>6</v>
      </c>
      <c r="I52" s="87">
        <v>0.8</v>
      </c>
      <c r="J52" s="11">
        <v>0</v>
      </c>
      <c r="K52" s="11">
        <f t="shared" si="0"/>
        <v>61.8</v>
      </c>
    </row>
    <row r="53" spans="1:11" ht="13.5" customHeight="1">
      <c r="A53" s="172">
        <v>50</v>
      </c>
      <c r="B53" s="19" t="s">
        <v>138</v>
      </c>
      <c r="C53" s="21" t="s">
        <v>228</v>
      </c>
      <c r="D53" s="20">
        <v>20</v>
      </c>
      <c r="E53" s="11" t="s">
        <v>229</v>
      </c>
      <c r="F53" s="11">
        <v>22</v>
      </c>
      <c r="G53" s="11">
        <v>19</v>
      </c>
      <c r="H53" s="11">
        <v>3</v>
      </c>
      <c r="I53" s="87">
        <v>0.2</v>
      </c>
      <c r="J53" s="11">
        <v>6</v>
      </c>
      <c r="K53" s="11">
        <f t="shared" si="0"/>
        <v>50.2</v>
      </c>
    </row>
    <row r="54" spans="1:11" ht="13.5" customHeight="1">
      <c r="A54" s="172">
        <v>51</v>
      </c>
      <c r="B54" s="19" t="s">
        <v>334</v>
      </c>
      <c r="C54" s="91" t="s">
        <v>340</v>
      </c>
      <c r="D54" s="91"/>
      <c r="E54" s="11" t="s">
        <v>229</v>
      </c>
      <c r="F54" s="5">
        <v>2</v>
      </c>
      <c r="G54" s="5">
        <v>2</v>
      </c>
      <c r="H54" s="5"/>
      <c r="I54" s="5">
        <v>0.1</v>
      </c>
      <c r="J54" s="5">
        <v>0</v>
      </c>
      <c r="K54" s="5">
        <f t="shared" si="0"/>
        <v>4.0999999999999996</v>
      </c>
    </row>
    <row r="55" spans="1:11" ht="13.5" customHeight="1">
      <c r="A55" s="172">
        <v>52</v>
      </c>
      <c r="B55" s="19" t="s">
        <v>311</v>
      </c>
      <c r="C55" s="91" t="s">
        <v>340</v>
      </c>
      <c r="D55" s="91"/>
      <c r="E55" s="11" t="s">
        <v>229</v>
      </c>
      <c r="F55" s="5">
        <v>3</v>
      </c>
      <c r="G55" s="5">
        <v>4</v>
      </c>
      <c r="H55" s="5"/>
      <c r="I55" s="87">
        <v>0.1</v>
      </c>
      <c r="J55" s="5">
        <v>0</v>
      </c>
      <c r="K55" s="5">
        <f t="shared" si="0"/>
        <v>7.1</v>
      </c>
    </row>
    <row r="56" spans="1:11" ht="13.5" customHeight="1">
      <c r="A56" s="172">
        <v>53</v>
      </c>
      <c r="B56" s="19" t="s">
        <v>782</v>
      </c>
      <c r="C56" s="152" t="s">
        <v>649</v>
      </c>
      <c r="D56" s="152"/>
      <c r="E56" s="152" t="s">
        <v>229</v>
      </c>
      <c r="F56" s="5">
        <v>2</v>
      </c>
      <c r="G56" s="5">
        <v>2</v>
      </c>
      <c r="H56" s="5"/>
      <c r="I56" s="5">
        <v>0.1</v>
      </c>
      <c r="J56" s="5">
        <v>0</v>
      </c>
      <c r="K56" s="5">
        <f t="shared" si="0"/>
        <v>4.0999999999999996</v>
      </c>
    </row>
    <row r="57" spans="1:11" ht="13.5" customHeight="1">
      <c r="A57" s="172">
        <v>54</v>
      </c>
      <c r="B57" s="58" t="s">
        <v>307</v>
      </c>
      <c r="C57" s="91" t="s">
        <v>309</v>
      </c>
      <c r="D57" s="91"/>
      <c r="E57" s="11" t="s">
        <v>229</v>
      </c>
      <c r="F57" s="5">
        <v>2</v>
      </c>
      <c r="G57" s="5">
        <v>0.5</v>
      </c>
      <c r="H57" s="5">
        <v>0.2</v>
      </c>
      <c r="I57" s="85">
        <v>0.1</v>
      </c>
      <c r="J57" s="5">
        <v>0</v>
      </c>
      <c r="K57" s="5">
        <f t="shared" si="0"/>
        <v>2.8000000000000003</v>
      </c>
    </row>
    <row r="58" spans="1:11" ht="13.5" customHeight="1">
      <c r="A58" s="172">
        <v>55</v>
      </c>
      <c r="B58" s="59" t="s">
        <v>288</v>
      </c>
      <c r="C58" s="91" t="s">
        <v>309</v>
      </c>
      <c r="D58" s="91"/>
      <c r="E58" s="11" t="s">
        <v>229</v>
      </c>
      <c r="F58" s="5">
        <v>3</v>
      </c>
      <c r="G58" s="5">
        <v>0.3</v>
      </c>
      <c r="H58" s="5">
        <v>0.5</v>
      </c>
      <c r="I58" s="85">
        <v>0.1</v>
      </c>
      <c r="J58" s="5">
        <v>0</v>
      </c>
      <c r="K58" s="5">
        <f t="shared" si="0"/>
        <v>3.9</v>
      </c>
    </row>
    <row r="59" spans="1:11" ht="13.5" customHeight="1">
      <c r="A59" s="172">
        <v>56</v>
      </c>
      <c r="B59" s="56" t="s">
        <v>118</v>
      </c>
      <c r="C59" s="21" t="s">
        <v>228</v>
      </c>
      <c r="D59" s="20">
        <v>30</v>
      </c>
      <c r="E59" s="11" t="s">
        <v>229</v>
      </c>
      <c r="F59" s="11">
        <v>18</v>
      </c>
      <c r="G59" s="11">
        <v>19</v>
      </c>
      <c r="H59" s="11">
        <v>4</v>
      </c>
      <c r="I59" s="85">
        <v>0.6</v>
      </c>
      <c r="J59" s="11">
        <v>0</v>
      </c>
      <c r="K59" s="11">
        <f t="shared" si="0"/>
        <v>41.6</v>
      </c>
    </row>
    <row r="60" spans="1:11" ht="13.5" customHeight="1">
      <c r="A60" s="172">
        <v>57</v>
      </c>
      <c r="B60" s="56" t="s">
        <v>106</v>
      </c>
      <c r="C60" s="21" t="s">
        <v>228</v>
      </c>
      <c r="D60" s="20">
        <v>50</v>
      </c>
      <c r="E60" s="11" t="s">
        <v>229</v>
      </c>
      <c r="F60" s="11">
        <v>28</v>
      </c>
      <c r="G60" s="11">
        <v>26</v>
      </c>
      <c r="H60" s="11">
        <v>3</v>
      </c>
      <c r="I60" s="85">
        <v>0.9</v>
      </c>
      <c r="J60" s="11">
        <v>0</v>
      </c>
      <c r="K60" s="11">
        <f t="shared" si="0"/>
        <v>57.9</v>
      </c>
    </row>
    <row r="61" spans="1:11" ht="13.5" customHeight="1">
      <c r="A61" s="172">
        <v>58</v>
      </c>
      <c r="B61" s="58" t="s">
        <v>305</v>
      </c>
      <c r="C61" s="91" t="s">
        <v>309</v>
      </c>
      <c r="D61" s="91"/>
      <c r="E61" s="11" t="s">
        <v>229</v>
      </c>
      <c r="F61" s="5">
        <v>2</v>
      </c>
      <c r="G61" s="5">
        <v>0.5</v>
      </c>
      <c r="H61" s="5">
        <v>0.5</v>
      </c>
      <c r="I61" s="85">
        <v>0.1</v>
      </c>
      <c r="J61" s="5">
        <v>0</v>
      </c>
      <c r="K61" s="5">
        <f t="shared" si="0"/>
        <v>3.1</v>
      </c>
    </row>
    <row r="62" spans="1:11" ht="13.5" customHeight="1">
      <c r="A62" s="172">
        <v>59</v>
      </c>
      <c r="B62" s="58" t="s">
        <v>303</v>
      </c>
      <c r="C62" s="91" t="s">
        <v>309</v>
      </c>
      <c r="D62" s="91"/>
      <c r="E62" s="11" t="s">
        <v>229</v>
      </c>
      <c r="F62" s="5">
        <v>1</v>
      </c>
      <c r="G62" s="5">
        <v>0.5</v>
      </c>
      <c r="H62" s="5">
        <v>0.1</v>
      </c>
      <c r="I62" s="85">
        <v>0.1</v>
      </c>
      <c r="J62" s="5">
        <v>0</v>
      </c>
      <c r="K62" s="5">
        <f t="shared" si="0"/>
        <v>1.7000000000000002</v>
      </c>
    </row>
    <row r="63" spans="1:11" ht="13.5" customHeight="1">
      <c r="A63" s="172">
        <v>60</v>
      </c>
      <c r="B63" s="58" t="s">
        <v>274</v>
      </c>
      <c r="C63" s="91" t="s">
        <v>309</v>
      </c>
      <c r="D63" s="91"/>
      <c r="E63" s="76" t="s">
        <v>229</v>
      </c>
      <c r="F63" s="5">
        <v>3</v>
      </c>
      <c r="G63" s="5">
        <v>0.04</v>
      </c>
      <c r="H63" s="5">
        <v>1</v>
      </c>
      <c r="I63" s="84">
        <v>0.1</v>
      </c>
      <c r="J63" s="5">
        <v>0</v>
      </c>
      <c r="K63" s="5">
        <f t="shared" si="0"/>
        <v>4.1399999999999997</v>
      </c>
    </row>
    <row r="64" spans="1:11" ht="13.5" customHeight="1">
      <c r="A64" s="172">
        <v>61</v>
      </c>
      <c r="B64" s="58" t="s">
        <v>253</v>
      </c>
      <c r="C64" s="91" t="s">
        <v>300</v>
      </c>
      <c r="D64" s="91"/>
      <c r="E64" s="80" t="s">
        <v>229</v>
      </c>
      <c r="F64" s="5">
        <v>3</v>
      </c>
      <c r="G64" s="5">
        <v>1</v>
      </c>
      <c r="H64" s="5">
        <v>1</v>
      </c>
      <c r="I64" s="84">
        <v>0.1</v>
      </c>
      <c r="J64" s="5">
        <v>5</v>
      </c>
      <c r="K64" s="5">
        <f t="shared" si="0"/>
        <v>10.1</v>
      </c>
    </row>
    <row r="65" spans="1:11" ht="13.5" customHeight="1">
      <c r="A65" s="172">
        <v>62</v>
      </c>
      <c r="B65" s="56" t="s">
        <v>168</v>
      </c>
      <c r="C65" s="21" t="s">
        <v>228</v>
      </c>
      <c r="D65" s="20">
        <v>10</v>
      </c>
      <c r="E65" s="11" t="s">
        <v>229</v>
      </c>
      <c r="F65" s="11">
        <v>20</v>
      </c>
      <c r="G65" s="11">
        <v>12</v>
      </c>
      <c r="H65" s="11">
        <v>2</v>
      </c>
      <c r="I65" s="84">
        <v>0.3</v>
      </c>
      <c r="J65" s="11">
        <v>5</v>
      </c>
      <c r="K65" s="11">
        <f t="shared" si="0"/>
        <v>39.299999999999997</v>
      </c>
    </row>
    <row r="66" spans="1:11" ht="13.5" customHeight="1">
      <c r="A66" s="172">
        <v>63</v>
      </c>
      <c r="B66" s="56" t="s">
        <v>146</v>
      </c>
      <c r="C66" s="21" t="s">
        <v>228</v>
      </c>
      <c r="D66" s="20">
        <v>18</v>
      </c>
      <c r="E66" s="11" t="s">
        <v>229</v>
      </c>
      <c r="F66" s="11">
        <v>17</v>
      </c>
      <c r="G66" s="11">
        <v>12</v>
      </c>
      <c r="H66" s="11">
        <v>3</v>
      </c>
      <c r="I66" s="131">
        <v>0.4</v>
      </c>
      <c r="J66" s="11">
        <v>5</v>
      </c>
      <c r="K66" s="11">
        <f t="shared" si="0"/>
        <v>37.4</v>
      </c>
    </row>
    <row r="67" spans="1:11" ht="13.5" customHeight="1">
      <c r="A67" s="172">
        <v>64</v>
      </c>
      <c r="B67" s="92" t="s">
        <v>636</v>
      </c>
      <c r="C67" s="21" t="s">
        <v>228</v>
      </c>
      <c r="D67" s="20">
        <v>30</v>
      </c>
      <c r="E67" s="11" t="s">
        <v>229</v>
      </c>
      <c r="F67" s="11">
        <v>29</v>
      </c>
      <c r="G67" s="11">
        <v>13</v>
      </c>
      <c r="H67" s="11">
        <v>6</v>
      </c>
      <c r="I67" s="84">
        <v>0.5</v>
      </c>
      <c r="J67" s="11">
        <v>5</v>
      </c>
      <c r="K67" s="11">
        <f t="shared" si="0"/>
        <v>53.5</v>
      </c>
    </row>
    <row r="68" spans="1:11" ht="13.5" customHeight="1">
      <c r="A68" s="172">
        <v>65</v>
      </c>
      <c r="B68" s="58" t="s">
        <v>304</v>
      </c>
      <c r="C68" s="91" t="s">
        <v>309</v>
      </c>
      <c r="D68" s="91"/>
      <c r="E68" s="11" t="s">
        <v>229</v>
      </c>
      <c r="F68" s="5">
        <v>4</v>
      </c>
      <c r="G68" s="5">
        <v>1</v>
      </c>
      <c r="H68" s="5">
        <v>0.2</v>
      </c>
      <c r="I68" s="85">
        <v>0.1</v>
      </c>
      <c r="J68" s="5">
        <v>0</v>
      </c>
      <c r="K68" s="5">
        <f t="shared" si="0"/>
        <v>5.3</v>
      </c>
    </row>
    <row r="69" spans="1:11" ht="13.5" customHeight="1">
      <c r="A69" s="172">
        <v>66</v>
      </c>
      <c r="B69" s="19" t="s">
        <v>313</v>
      </c>
      <c r="C69" s="91" t="s">
        <v>340</v>
      </c>
      <c r="D69" s="91"/>
      <c r="E69" s="11" t="s">
        <v>229</v>
      </c>
      <c r="F69" s="5">
        <v>3</v>
      </c>
      <c r="G69" s="5">
        <v>3</v>
      </c>
      <c r="H69" s="5"/>
      <c r="I69" s="11">
        <v>0.1</v>
      </c>
      <c r="J69" s="5">
        <v>0</v>
      </c>
      <c r="K69" s="5">
        <f t="shared" si="0"/>
        <v>6.1</v>
      </c>
    </row>
    <row r="70" spans="1:11" ht="13.5" customHeight="1">
      <c r="A70" s="172">
        <v>67</v>
      </c>
      <c r="B70" s="56" t="s">
        <v>153</v>
      </c>
      <c r="C70" s="21" t="s">
        <v>228</v>
      </c>
      <c r="D70" s="20">
        <v>15</v>
      </c>
      <c r="E70" s="11" t="s">
        <v>229</v>
      </c>
      <c r="F70" s="11">
        <v>7</v>
      </c>
      <c r="G70" s="11">
        <v>8</v>
      </c>
      <c r="H70" s="11">
        <v>6</v>
      </c>
      <c r="I70" s="11">
        <v>0.2</v>
      </c>
      <c r="J70" s="11">
        <v>3</v>
      </c>
      <c r="K70" s="11">
        <f t="shared" si="0"/>
        <v>24.2</v>
      </c>
    </row>
    <row r="71" spans="1:11" ht="13.5" customHeight="1">
      <c r="A71" s="172">
        <v>68</v>
      </c>
      <c r="B71" s="58" t="s">
        <v>259</v>
      </c>
      <c r="C71" s="91" t="s">
        <v>309</v>
      </c>
      <c r="D71" s="91"/>
      <c r="E71" s="11" t="s">
        <v>229</v>
      </c>
      <c r="F71" s="5">
        <v>2</v>
      </c>
      <c r="G71" s="5">
        <v>1</v>
      </c>
      <c r="H71" s="5">
        <v>0.5</v>
      </c>
      <c r="I71" s="11">
        <v>0.1</v>
      </c>
      <c r="J71" s="5">
        <v>0</v>
      </c>
      <c r="K71" s="5">
        <f t="shared" si="0"/>
        <v>3.6</v>
      </c>
    </row>
    <row r="72" spans="1:11" ht="13.5" customHeight="1">
      <c r="A72" s="172">
        <v>69</v>
      </c>
      <c r="B72" s="58" t="s">
        <v>232</v>
      </c>
      <c r="C72" s="91" t="s">
        <v>300</v>
      </c>
      <c r="D72" s="91"/>
      <c r="E72" s="11" t="s">
        <v>229</v>
      </c>
      <c r="F72" s="5">
        <v>2</v>
      </c>
      <c r="G72" s="5">
        <v>2</v>
      </c>
      <c r="H72" s="5">
        <v>2</v>
      </c>
      <c r="I72" s="85">
        <v>0.1</v>
      </c>
      <c r="J72" s="5">
        <v>5</v>
      </c>
      <c r="K72" s="5">
        <f t="shared" si="0"/>
        <v>11.1</v>
      </c>
    </row>
    <row r="73" spans="1:11" ht="13.5" customHeight="1">
      <c r="A73" s="172">
        <v>70</v>
      </c>
      <c r="B73" s="56" t="s">
        <v>215</v>
      </c>
      <c r="C73" s="21" t="s">
        <v>228</v>
      </c>
      <c r="D73" s="20">
        <v>4</v>
      </c>
      <c r="E73" s="11" t="s">
        <v>229</v>
      </c>
      <c r="F73" s="5">
        <v>4</v>
      </c>
      <c r="G73" s="5">
        <v>5</v>
      </c>
      <c r="H73" s="5">
        <v>2</v>
      </c>
      <c r="I73" s="85">
        <v>0.1</v>
      </c>
      <c r="J73" s="5">
        <v>0</v>
      </c>
      <c r="K73" s="5">
        <f t="shared" ref="K73:K140" si="5">SUM(F73:J73)</f>
        <v>11.1</v>
      </c>
    </row>
    <row r="74" spans="1:11" ht="13.5" customHeight="1">
      <c r="A74" s="172">
        <v>71</v>
      </c>
      <c r="B74" s="58" t="s">
        <v>261</v>
      </c>
      <c r="C74" s="91" t="s">
        <v>309</v>
      </c>
      <c r="D74" s="91"/>
      <c r="E74" s="11" t="s">
        <v>229</v>
      </c>
      <c r="F74" s="5">
        <v>2</v>
      </c>
      <c r="G74" s="5">
        <v>1</v>
      </c>
      <c r="H74" s="5">
        <v>0.5</v>
      </c>
      <c r="I74" s="85">
        <v>0.1</v>
      </c>
      <c r="J74" s="5">
        <v>0</v>
      </c>
      <c r="K74" s="5">
        <f t="shared" si="5"/>
        <v>3.6</v>
      </c>
    </row>
    <row r="75" spans="1:11" ht="13.5" customHeight="1">
      <c r="A75" s="172">
        <v>72</v>
      </c>
      <c r="B75" s="56" t="s">
        <v>167</v>
      </c>
      <c r="C75" s="21" t="s">
        <v>228</v>
      </c>
      <c r="D75" s="20">
        <v>10</v>
      </c>
      <c r="E75" s="11" t="s">
        <v>229</v>
      </c>
      <c r="F75" s="11">
        <v>13</v>
      </c>
      <c r="G75" s="11">
        <v>8</v>
      </c>
      <c r="H75" s="13">
        <v>4</v>
      </c>
      <c r="I75" s="11">
        <v>0.2</v>
      </c>
      <c r="J75" s="11">
        <v>0</v>
      </c>
      <c r="K75" s="11">
        <f t="shared" si="5"/>
        <v>25.2</v>
      </c>
    </row>
    <row r="76" spans="1:11" ht="13.5" customHeight="1">
      <c r="A76" s="172">
        <v>73</v>
      </c>
      <c r="B76" s="56" t="s">
        <v>178</v>
      </c>
      <c r="C76" s="21" t="s">
        <v>228</v>
      </c>
      <c r="D76" s="20">
        <v>9</v>
      </c>
      <c r="E76" s="11" t="s">
        <v>229</v>
      </c>
      <c r="F76" s="11">
        <v>12</v>
      </c>
      <c r="G76" s="11">
        <v>8</v>
      </c>
      <c r="H76" s="11">
        <v>3</v>
      </c>
      <c r="I76" s="11">
        <v>0.2</v>
      </c>
      <c r="J76" s="11">
        <v>0</v>
      </c>
      <c r="K76" s="11">
        <f t="shared" si="5"/>
        <v>23.2</v>
      </c>
    </row>
    <row r="77" spans="1:11" ht="13.5" customHeight="1">
      <c r="A77" s="172">
        <v>74</v>
      </c>
      <c r="B77" s="56" t="s">
        <v>160</v>
      </c>
      <c r="C77" s="21" t="s">
        <v>228</v>
      </c>
      <c r="D77" s="20">
        <v>10</v>
      </c>
      <c r="E77" s="11" t="s">
        <v>229</v>
      </c>
      <c r="F77" s="11">
        <v>6</v>
      </c>
      <c r="G77" s="11">
        <v>8</v>
      </c>
      <c r="H77" s="11">
        <v>5</v>
      </c>
      <c r="I77" s="11">
        <v>0.2</v>
      </c>
      <c r="J77" s="11">
        <v>5</v>
      </c>
      <c r="K77" s="11">
        <f t="shared" si="5"/>
        <v>24.2</v>
      </c>
    </row>
    <row r="78" spans="1:11" ht="13.5" customHeight="1">
      <c r="A78" s="172">
        <v>75</v>
      </c>
      <c r="B78" s="56" t="s">
        <v>217</v>
      </c>
      <c r="C78" s="21" t="s">
        <v>228</v>
      </c>
      <c r="D78" s="20">
        <v>4</v>
      </c>
      <c r="E78" s="76" t="s">
        <v>229</v>
      </c>
      <c r="F78" s="5">
        <v>7</v>
      </c>
      <c r="G78" s="5">
        <v>5</v>
      </c>
      <c r="H78" s="5">
        <v>5</v>
      </c>
      <c r="I78" s="76">
        <v>0.1</v>
      </c>
      <c r="J78" s="5">
        <v>5</v>
      </c>
      <c r="K78" s="5">
        <f t="shared" si="5"/>
        <v>22.1</v>
      </c>
    </row>
    <row r="79" spans="1:11" ht="13.5" customHeight="1">
      <c r="A79" s="172">
        <v>76</v>
      </c>
      <c r="B79" s="92" t="s">
        <v>188</v>
      </c>
      <c r="C79" s="21" t="s">
        <v>228</v>
      </c>
      <c r="D79" s="20">
        <v>2</v>
      </c>
      <c r="E79" s="11" t="s">
        <v>229</v>
      </c>
      <c r="F79" s="5">
        <v>2</v>
      </c>
      <c r="G79" s="5">
        <v>0</v>
      </c>
      <c r="H79" s="5">
        <v>0</v>
      </c>
      <c r="I79" s="11">
        <v>0.1</v>
      </c>
      <c r="J79" s="5">
        <v>0</v>
      </c>
      <c r="K79" s="5">
        <f t="shared" si="5"/>
        <v>2.1</v>
      </c>
    </row>
    <row r="80" spans="1:11" ht="13.5" customHeight="1">
      <c r="A80" s="172">
        <v>77</v>
      </c>
      <c r="B80" s="56" t="s">
        <v>158</v>
      </c>
      <c r="C80" s="21" t="s">
        <v>228</v>
      </c>
      <c r="D80" s="20">
        <v>10</v>
      </c>
      <c r="E80" s="11" t="s">
        <v>229</v>
      </c>
      <c r="F80" s="11">
        <v>1</v>
      </c>
      <c r="G80" s="11">
        <v>9</v>
      </c>
      <c r="H80" s="11">
        <v>3</v>
      </c>
      <c r="I80" s="11">
        <v>0.2</v>
      </c>
      <c r="J80" s="11">
        <v>2</v>
      </c>
      <c r="K80" s="11">
        <f t="shared" si="5"/>
        <v>15.2</v>
      </c>
    </row>
    <row r="81" spans="1:11" ht="13.5" customHeight="1">
      <c r="A81" s="172">
        <v>78</v>
      </c>
      <c r="B81" s="56" t="s">
        <v>169</v>
      </c>
      <c r="C81" s="21" t="s">
        <v>228</v>
      </c>
      <c r="D81" s="20">
        <v>10</v>
      </c>
      <c r="E81" s="11" t="s">
        <v>229</v>
      </c>
      <c r="F81" s="11">
        <v>6</v>
      </c>
      <c r="G81" s="11">
        <v>7</v>
      </c>
      <c r="H81" s="11">
        <v>5</v>
      </c>
      <c r="I81" s="11">
        <v>0.2</v>
      </c>
      <c r="J81" s="11">
        <v>5</v>
      </c>
      <c r="K81" s="11">
        <f t="shared" si="5"/>
        <v>23.2</v>
      </c>
    </row>
    <row r="82" spans="1:11" ht="13.5" customHeight="1">
      <c r="A82" s="172">
        <v>79</v>
      </c>
      <c r="B82" s="56" t="s">
        <v>198</v>
      </c>
      <c r="C82" s="21" t="s">
        <v>228</v>
      </c>
      <c r="D82" s="20">
        <v>6</v>
      </c>
      <c r="E82" s="11" t="s">
        <v>229</v>
      </c>
      <c r="F82" s="5">
        <v>14</v>
      </c>
      <c r="G82" s="5">
        <v>5</v>
      </c>
      <c r="H82" s="5">
        <v>4</v>
      </c>
      <c r="I82" s="11">
        <v>0.1</v>
      </c>
      <c r="J82" s="5">
        <v>3</v>
      </c>
      <c r="K82" s="5">
        <f t="shared" si="5"/>
        <v>26.1</v>
      </c>
    </row>
    <row r="83" spans="1:11" ht="13.5" customHeight="1">
      <c r="A83" s="172">
        <v>80</v>
      </c>
      <c r="B83" s="56" t="s">
        <v>510</v>
      </c>
      <c r="C83" s="21" t="s">
        <v>228</v>
      </c>
      <c r="D83" s="20">
        <v>144</v>
      </c>
      <c r="E83" s="11" t="s">
        <v>229</v>
      </c>
      <c r="F83" s="11">
        <v>32</v>
      </c>
      <c r="G83" s="11">
        <v>14</v>
      </c>
      <c r="H83" s="11">
        <v>5</v>
      </c>
      <c r="I83" s="131">
        <v>0.9</v>
      </c>
      <c r="J83" s="11">
        <v>0</v>
      </c>
      <c r="K83" s="11">
        <f t="shared" si="5"/>
        <v>51.9</v>
      </c>
    </row>
    <row r="84" spans="1:11" ht="13.5" customHeight="1">
      <c r="A84" s="172">
        <v>81</v>
      </c>
      <c r="B84" s="92" t="s">
        <v>230</v>
      </c>
      <c r="C84" s="21" t="s">
        <v>228</v>
      </c>
      <c r="D84" s="20">
        <v>500</v>
      </c>
      <c r="E84" s="11" t="s">
        <v>229</v>
      </c>
      <c r="F84" s="11">
        <v>550</v>
      </c>
      <c r="G84" s="11">
        <f>388-14</f>
        <v>374</v>
      </c>
      <c r="H84" s="11">
        <v>50</v>
      </c>
      <c r="I84" s="11">
        <v>0.9</v>
      </c>
      <c r="J84" s="11">
        <v>0</v>
      </c>
      <c r="K84" s="11">
        <f t="shared" si="5"/>
        <v>974.9</v>
      </c>
    </row>
    <row r="85" spans="1:11" ht="13.5" customHeight="1">
      <c r="A85" s="172">
        <v>82</v>
      </c>
      <c r="B85" s="56" t="s">
        <v>173</v>
      </c>
      <c r="C85" s="21" t="s">
        <v>228</v>
      </c>
      <c r="D85" s="20">
        <v>10</v>
      </c>
      <c r="E85" s="11" t="s">
        <v>229</v>
      </c>
      <c r="F85" s="11">
        <v>15</v>
      </c>
      <c r="G85" s="11">
        <v>9</v>
      </c>
      <c r="H85" s="11">
        <v>3</v>
      </c>
      <c r="I85" s="11">
        <v>0.4</v>
      </c>
      <c r="J85" s="11">
        <v>5</v>
      </c>
      <c r="K85" s="11">
        <f t="shared" si="5"/>
        <v>32.4</v>
      </c>
    </row>
    <row r="86" spans="1:11" ht="13.5" customHeight="1">
      <c r="A86" s="172">
        <v>83</v>
      </c>
      <c r="B86" s="166" t="s">
        <v>803</v>
      </c>
      <c r="C86" s="21" t="s">
        <v>300</v>
      </c>
      <c r="D86" s="20"/>
      <c r="E86" s="167" t="s">
        <v>229</v>
      </c>
      <c r="F86" s="5">
        <v>4</v>
      </c>
      <c r="G86" s="5">
        <v>1</v>
      </c>
      <c r="H86" s="5">
        <v>3</v>
      </c>
      <c r="I86" s="167">
        <v>0.1</v>
      </c>
      <c r="J86" s="5">
        <v>0</v>
      </c>
      <c r="K86" s="5">
        <f t="shared" ref="K86" si="6">SUM(F86:J86)</f>
        <v>8.1</v>
      </c>
    </row>
    <row r="87" spans="1:11" ht="13.5" customHeight="1">
      <c r="A87" s="172">
        <v>84</v>
      </c>
      <c r="B87" s="56" t="s">
        <v>126</v>
      </c>
      <c r="C87" s="21" t="s">
        <v>228</v>
      </c>
      <c r="D87" s="20">
        <v>30</v>
      </c>
      <c r="E87" s="11" t="s">
        <v>229</v>
      </c>
      <c r="F87" s="11">
        <v>30</v>
      </c>
      <c r="G87" s="11">
        <v>19</v>
      </c>
      <c r="H87" s="11">
        <v>6</v>
      </c>
      <c r="I87" s="11">
        <v>0.6</v>
      </c>
      <c r="J87" s="11">
        <v>6</v>
      </c>
      <c r="K87" s="11">
        <f t="shared" si="5"/>
        <v>61.6</v>
      </c>
    </row>
    <row r="88" spans="1:11" ht="13.5" customHeight="1">
      <c r="A88" s="172">
        <v>85</v>
      </c>
      <c r="B88" s="58" t="s">
        <v>250</v>
      </c>
      <c r="C88" s="91" t="s">
        <v>300</v>
      </c>
      <c r="D88" s="91"/>
      <c r="E88" s="11" t="s">
        <v>229</v>
      </c>
      <c r="F88" s="5">
        <v>3</v>
      </c>
      <c r="G88" s="5">
        <v>1</v>
      </c>
      <c r="H88" s="5">
        <v>2</v>
      </c>
      <c r="I88" s="11">
        <v>0.1</v>
      </c>
      <c r="J88" s="5">
        <v>5</v>
      </c>
      <c r="K88" s="5">
        <f t="shared" si="5"/>
        <v>11.1</v>
      </c>
    </row>
    <row r="89" spans="1:11" ht="13.5" customHeight="1">
      <c r="A89" s="172">
        <v>86</v>
      </c>
      <c r="B89" s="58" t="s">
        <v>248</v>
      </c>
      <c r="C89" s="91" t="s">
        <v>300</v>
      </c>
      <c r="D89" s="91"/>
      <c r="E89" s="11" t="s">
        <v>229</v>
      </c>
      <c r="F89" s="5">
        <v>4</v>
      </c>
      <c r="G89" s="5">
        <v>1</v>
      </c>
      <c r="H89" s="5">
        <v>3</v>
      </c>
      <c r="I89" s="11">
        <v>0.1</v>
      </c>
      <c r="J89" s="5">
        <v>0</v>
      </c>
      <c r="K89" s="5">
        <f t="shared" si="5"/>
        <v>8.1</v>
      </c>
    </row>
    <row r="90" spans="1:11" ht="13.5" customHeight="1">
      <c r="A90" s="172">
        <v>87</v>
      </c>
      <c r="B90" s="56" t="s">
        <v>125</v>
      </c>
      <c r="C90" s="21" t="s">
        <v>228</v>
      </c>
      <c r="D90" s="20">
        <v>30</v>
      </c>
      <c r="E90" s="11" t="s">
        <v>229</v>
      </c>
      <c r="F90" s="11">
        <v>17</v>
      </c>
      <c r="G90" s="11">
        <v>19</v>
      </c>
      <c r="H90" s="11">
        <v>5</v>
      </c>
      <c r="I90" s="131">
        <v>0.8</v>
      </c>
      <c r="J90" s="11">
        <v>6</v>
      </c>
      <c r="K90" s="11">
        <f t="shared" si="5"/>
        <v>47.8</v>
      </c>
    </row>
    <row r="91" spans="1:11" ht="13.5" customHeight="1">
      <c r="A91" s="172">
        <v>88</v>
      </c>
      <c r="B91" s="56" t="s">
        <v>222</v>
      </c>
      <c r="C91" s="21" t="s">
        <v>228</v>
      </c>
      <c r="D91" s="20">
        <v>3</v>
      </c>
      <c r="E91" s="11" t="s">
        <v>229</v>
      </c>
      <c r="F91" s="5">
        <v>9</v>
      </c>
      <c r="G91" s="5">
        <v>4</v>
      </c>
      <c r="H91" s="5">
        <v>3</v>
      </c>
      <c r="I91" s="11">
        <v>0.1</v>
      </c>
      <c r="J91" s="5">
        <v>0</v>
      </c>
      <c r="K91" s="5">
        <f t="shared" si="5"/>
        <v>16.100000000000001</v>
      </c>
    </row>
    <row r="92" spans="1:11" ht="13.5" customHeight="1">
      <c r="A92" s="172">
        <v>89</v>
      </c>
      <c r="B92" s="44" t="s">
        <v>121</v>
      </c>
      <c r="C92" s="21" t="s">
        <v>228</v>
      </c>
      <c r="D92" s="20">
        <v>30</v>
      </c>
      <c r="E92" s="11" t="s">
        <v>229</v>
      </c>
      <c r="F92" s="11">
        <v>27</v>
      </c>
      <c r="G92" s="11">
        <v>19</v>
      </c>
      <c r="H92" s="11">
        <v>6</v>
      </c>
      <c r="I92" s="11">
        <v>0.6</v>
      </c>
      <c r="J92" s="11">
        <v>4</v>
      </c>
      <c r="K92" s="11">
        <f t="shared" si="5"/>
        <v>56.6</v>
      </c>
    </row>
    <row r="93" spans="1:11" ht="13.5" customHeight="1">
      <c r="A93" s="172">
        <v>90</v>
      </c>
      <c r="B93" s="56" t="s">
        <v>226</v>
      </c>
      <c r="C93" s="21" t="s">
        <v>228</v>
      </c>
      <c r="D93" s="20">
        <v>3</v>
      </c>
      <c r="E93" s="11" t="s">
        <v>229</v>
      </c>
      <c r="F93" s="5">
        <v>10</v>
      </c>
      <c r="G93" s="5">
        <v>2</v>
      </c>
      <c r="H93" s="5">
        <v>2</v>
      </c>
      <c r="I93" s="11">
        <v>0.1</v>
      </c>
      <c r="J93" s="5">
        <v>0</v>
      </c>
      <c r="K93" s="11">
        <f t="shared" si="5"/>
        <v>14.1</v>
      </c>
    </row>
    <row r="94" spans="1:11" ht="13.5" customHeight="1">
      <c r="A94" s="172">
        <v>91</v>
      </c>
      <c r="B94" s="58" t="s">
        <v>238</v>
      </c>
      <c r="C94" s="91" t="s">
        <v>300</v>
      </c>
      <c r="D94" s="91"/>
      <c r="E94" s="11" t="s">
        <v>229</v>
      </c>
      <c r="F94" s="5">
        <v>2</v>
      </c>
      <c r="G94" s="5">
        <v>2</v>
      </c>
      <c r="H94" s="5">
        <v>2</v>
      </c>
      <c r="I94" s="11">
        <v>0.1</v>
      </c>
      <c r="J94" s="5">
        <v>2</v>
      </c>
      <c r="K94" s="5">
        <f t="shared" si="5"/>
        <v>8.1</v>
      </c>
    </row>
    <row r="95" spans="1:11" ht="13.5" customHeight="1">
      <c r="A95" s="172">
        <v>92</v>
      </c>
      <c r="B95" s="59" t="s">
        <v>290</v>
      </c>
      <c r="C95" s="91" t="s">
        <v>300</v>
      </c>
      <c r="D95" s="91"/>
      <c r="E95" s="11" t="s">
        <v>229</v>
      </c>
      <c r="F95" s="5">
        <v>4</v>
      </c>
      <c r="G95" s="5">
        <v>1</v>
      </c>
      <c r="H95" s="5">
        <v>1</v>
      </c>
      <c r="I95" s="11">
        <v>0.1</v>
      </c>
      <c r="J95" s="5">
        <v>0</v>
      </c>
      <c r="K95" s="5">
        <f t="shared" si="5"/>
        <v>6.1</v>
      </c>
    </row>
    <row r="96" spans="1:11" ht="13.5" customHeight="1">
      <c r="A96" s="172">
        <v>93</v>
      </c>
      <c r="B96" s="166" t="s">
        <v>795</v>
      </c>
      <c r="C96" s="162" t="s">
        <v>300</v>
      </c>
      <c r="D96" s="162"/>
      <c r="E96" s="162" t="s">
        <v>229</v>
      </c>
      <c r="F96" s="5">
        <v>4</v>
      </c>
      <c r="G96" s="5">
        <v>1</v>
      </c>
      <c r="H96" s="5">
        <v>1</v>
      </c>
      <c r="I96" s="162">
        <v>0.1</v>
      </c>
      <c r="J96" s="5">
        <v>0</v>
      </c>
      <c r="K96" s="5">
        <f t="shared" ref="K96" si="7">SUM(F96:J96)</f>
        <v>6.1</v>
      </c>
    </row>
    <row r="97" spans="1:11" ht="13.5" customHeight="1">
      <c r="A97" s="172">
        <v>94</v>
      </c>
      <c r="B97" s="58" t="s">
        <v>276</v>
      </c>
      <c r="C97" s="91" t="s">
        <v>300</v>
      </c>
      <c r="D97" s="91"/>
      <c r="E97" s="11" t="s">
        <v>229</v>
      </c>
      <c r="F97" s="5">
        <v>2</v>
      </c>
      <c r="G97" s="5">
        <v>3</v>
      </c>
      <c r="H97" s="5">
        <v>2</v>
      </c>
      <c r="I97" s="11">
        <v>0.1</v>
      </c>
      <c r="J97" s="5">
        <v>0</v>
      </c>
      <c r="K97" s="5">
        <f t="shared" si="5"/>
        <v>7.1</v>
      </c>
    </row>
    <row r="98" spans="1:11" ht="13.5" customHeight="1">
      <c r="A98" s="172">
        <v>95</v>
      </c>
      <c r="B98" s="56" t="s">
        <v>104</v>
      </c>
      <c r="C98" s="21" t="s">
        <v>228</v>
      </c>
      <c r="D98" s="20">
        <v>50</v>
      </c>
      <c r="E98" s="11" t="s">
        <v>229</v>
      </c>
      <c r="F98" s="11">
        <v>22</v>
      </c>
      <c r="G98" s="11">
        <v>26</v>
      </c>
      <c r="H98" s="11">
        <v>5</v>
      </c>
      <c r="I98" s="131">
        <v>0.9</v>
      </c>
      <c r="J98" s="11">
        <v>0</v>
      </c>
      <c r="K98" s="11">
        <f t="shared" si="5"/>
        <v>53.9</v>
      </c>
    </row>
    <row r="99" spans="1:11" ht="13.5" customHeight="1">
      <c r="A99" s="172">
        <v>96</v>
      </c>
      <c r="B99" s="58" t="s">
        <v>258</v>
      </c>
      <c r="C99" s="91" t="s">
        <v>300</v>
      </c>
      <c r="D99" s="91"/>
      <c r="E99" s="11" t="s">
        <v>229</v>
      </c>
      <c r="F99" s="5">
        <v>2</v>
      </c>
      <c r="G99" s="5">
        <v>1</v>
      </c>
      <c r="H99" s="5">
        <v>2</v>
      </c>
      <c r="I99" s="11">
        <v>0.1</v>
      </c>
      <c r="J99" s="5">
        <v>5</v>
      </c>
      <c r="K99" s="5">
        <f t="shared" si="5"/>
        <v>10.1</v>
      </c>
    </row>
    <row r="100" spans="1:11" ht="13.5" customHeight="1">
      <c r="A100" s="172">
        <v>97</v>
      </c>
      <c r="B100" s="166" t="s">
        <v>825</v>
      </c>
      <c r="C100" s="172" t="s">
        <v>228</v>
      </c>
      <c r="D100" s="172">
        <v>100</v>
      </c>
      <c r="E100" s="172" t="s">
        <v>229</v>
      </c>
      <c r="F100" s="172">
        <v>96</v>
      </c>
      <c r="G100" s="172">
        <v>48</v>
      </c>
      <c r="H100" s="172">
        <v>8</v>
      </c>
      <c r="I100" s="172">
        <v>0.9</v>
      </c>
      <c r="J100" s="172">
        <v>0</v>
      </c>
      <c r="K100" s="172">
        <f t="shared" si="5"/>
        <v>152.9</v>
      </c>
    </row>
    <row r="101" spans="1:11" ht="13.5" customHeight="1">
      <c r="A101" s="172">
        <v>98</v>
      </c>
      <c r="B101" s="58" t="s">
        <v>242</v>
      </c>
      <c r="C101" s="91" t="s">
        <v>300</v>
      </c>
      <c r="D101" s="91"/>
      <c r="E101" s="11" t="s">
        <v>229</v>
      </c>
      <c r="F101" s="5">
        <v>3</v>
      </c>
      <c r="G101" s="5">
        <v>2</v>
      </c>
      <c r="H101" s="5">
        <v>2</v>
      </c>
      <c r="I101" s="11">
        <v>0.1</v>
      </c>
      <c r="J101" s="5">
        <v>0</v>
      </c>
      <c r="K101" s="5">
        <f t="shared" si="5"/>
        <v>7.1</v>
      </c>
    </row>
    <row r="102" spans="1:11" ht="13.5" customHeight="1">
      <c r="A102" s="172">
        <v>99</v>
      </c>
      <c r="B102" s="19" t="s">
        <v>109</v>
      </c>
      <c r="C102" s="21" t="s">
        <v>228</v>
      </c>
      <c r="D102" s="20">
        <v>45</v>
      </c>
      <c r="E102" s="11" t="s">
        <v>229</v>
      </c>
      <c r="F102" s="11">
        <v>14</v>
      </c>
      <c r="G102" s="11">
        <v>12</v>
      </c>
      <c r="H102" s="11">
        <v>3</v>
      </c>
      <c r="I102" s="131">
        <v>0.9</v>
      </c>
      <c r="J102" s="11">
        <v>0</v>
      </c>
      <c r="K102" s="11">
        <f t="shared" si="5"/>
        <v>29.9</v>
      </c>
    </row>
    <row r="103" spans="1:11" ht="13.5" customHeight="1">
      <c r="A103" s="172">
        <v>100</v>
      </c>
      <c r="B103" s="56" t="s">
        <v>200</v>
      </c>
      <c r="C103" s="21" t="s">
        <v>228</v>
      </c>
      <c r="D103" s="20">
        <v>6</v>
      </c>
      <c r="E103" s="11" t="s">
        <v>229</v>
      </c>
      <c r="F103" s="5">
        <v>6</v>
      </c>
      <c r="G103" s="5">
        <v>6</v>
      </c>
      <c r="H103" s="5">
        <v>4</v>
      </c>
      <c r="I103" s="11">
        <v>0.1</v>
      </c>
      <c r="J103" s="5">
        <v>0</v>
      </c>
      <c r="K103" s="5">
        <f t="shared" si="5"/>
        <v>16.100000000000001</v>
      </c>
    </row>
    <row r="104" spans="1:11" ht="13.5" customHeight="1">
      <c r="A104" s="172">
        <v>101</v>
      </c>
      <c r="B104" s="19" t="s">
        <v>638</v>
      </c>
      <c r="C104" s="21" t="s">
        <v>228</v>
      </c>
      <c r="D104" s="20">
        <v>4</v>
      </c>
      <c r="E104" s="11" t="s">
        <v>229</v>
      </c>
      <c r="F104" s="5">
        <v>7</v>
      </c>
      <c r="G104" s="5">
        <v>5</v>
      </c>
      <c r="H104" s="5">
        <v>2</v>
      </c>
      <c r="I104" s="11">
        <v>0.1</v>
      </c>
      <c r="J104" s="5">
        <v>4</v>
      </c>
      <c r="K104" s="5">
        <f t="shared" si="5"/>
        <v>18.100000000000001</v>
      </c>
    </row>
    <row r="105" spans="1:11" ht="13.5" customHeight="1">
      <c r="A105" s="172">
        <v>102</v>
      </c>
      <c r="B105" s="19" t="s">
        <v>335</v>
      </c>
      <c r="C105" s="91" t="s">
        <v>340</v>
      </c>
      <c r="D105" s="91"/>
      <c r="E105" s="11" t="s">
        <v>229</v>
      </c>
      <c r="F105" s="5">
        <v>1</v>
      </c>
      <c r="G105" s="5">
        <v>1</v>
      </c>
      <c r="H105" s="5"/>
      <c r="I105" s="5">
        <v>0.1</v>
      </c>
      <c r="J105" s="5">
        <v>0</v>
      </c>
      <c r="K105" s="5">
        <f t="shared" si="5"/>
        <v>2.1</v>
      </c>
    </row>
    <row r="106" spans="1:11" ht="13.5" customHeight="1">
      <c r="A106" s="172">
        <v>103</v>
      </c>
      <c r="B106" s="58" t="s">
        <v>235</v>
      </c>
      <c r="C106" s="91" t="s">
        <v>300</v>
      </c>
      <c r="D106" s="91"/>
      <c r="E106" s="11" t="s">
        <v>229</v>
      </c>
      <c r="F106" s="5">
        <v>5</v>
      </c>
      <c r="G106" s="5">
        <v>1</v>
      </c>
      <c r="H106" s="5">
        <v>3</v>
      </c>
      <c r="I106" s="11">
        <v>0.1</v>
      </c>
      <c r="J106" s="5">
        <v>0</v>
      </c>
      <c r="K106" s="5">
        <f t="shared" si="5"/>
        <v>9.1</v>
      </c>
    </row>
    <row r="107" spans="1:11" ht="13.5" customHeight="1">
      <c r="A107" s="172">
        <v>104</v>
      </c>
      <c r="B107" s="56" t="s">
        <v>182</v>
      </c>
      <c r="C107" s="21" t="s">
        <v>228</v>
      </c>
      <c r="D107" s="20">
        <v>9</v>
      </c>
      <c r="E107" s="11" t="s">
        <v>229</v>
      </c>
      <c r="F107" s="11">
        <v>6</v>
      </c>
      <c r="G107" s="11">
        <v>6</v>
      </c>
      <c r="H107" s="11">
        <v>3</v>
      </c>
      <c r="I107" s="11">
        <v>0.3</v>
      </c>
      <c r="J107" s="11">
        <v>5</v>
      </c>
      <c r="K107" s="11">
        <f t="shared" si="5"/>
        <v>20.3</v>
      </c>
    </row>
    <row r="108" spans="1:11" ht="13.5" customHeight="1">
      <c r="A108" s="172">
        <v>105</v>
      </c>
      <c r="B108" s="166" t="s">
        <v>816</v>
      </c>
      <c r="C108" s="21" t="s">
        <v>300</v>
      </c>
      <c r="D108" s="20"/>
      <c r="E108" s="171" t="s">
        <v>229</v>
      </c>
      <c r="F108" s="5">
        <v>5</v>
      </c>
      <c r="G108" s="5">
        <v>1</v>
      </c>
      <c r="H108" s="5">
        <v>3</v>
      </c>
      <c r="I108" s="171">
        <v>0.1</v>
      </c>
      <c r="J108" s="5">
        <v>0</v>
      </c>
      <c r="K108" s="5">
        <f t="shared" ref="K108" si="8">SUM(F108:J108)</f>
        <v>9.1</v>
      </c>
    </row>
    <row r="109" spans="1:11" ht="13.5" customHeight="1">
      <c r="A109" s="172">
        <v>106</v>
      </c>
      <c r="B109" s="19" t="s">
        <v>339</v>
      </c>
      <c r="C109" s="131" t="s">
        <v>651</v>
      </c>
      <c r="D109" s="91"/>
      <c r="E109" s="11" t="s">
        <v>229</v>
      </c>
      <c r="F109" s="5">
        <v>2</v>
      </c>
      <c r="G109" s="5">
        <v>1</v>
      </c>
      <c r="H109" s="5"/>
      <c r="I109" s="5">
        <v>0.1</v>
      </c>
      <c r="J109" s="5">
        <v>0</v>
      </c>
      <c r="K109" s="5">
        <f t="shared" si="5"/>
        <v>3.1</v>
      </c>
    </row>
    <row r="110" spans="1:11" ht="13.5" customHeight="1">
      <c r="A110" s="172">
        <v>107</v>
      </c>
      <c r="B110" s="56" t="s">
        <v>124</v>
      </c>
      <c r="C110" s="21" t="s">
        <v>228</v>
      </c>
      <c r="D110" s="20">
        <v>30</v>
      </c>
      <c r="E110" s="11" t="s">
        <v>229</v>
      </c>
      <c r="F110" s="11">
        <v>27</v>
      </c>
      <c r="G110" s="11">
        <v>18</v>
      </c>
      <c r="H110" s="11">
        <v>5</v>
      </c>
      <c r="I110" s="131">
        <v>0.6</v>
      </c>
      <c r="J110" s="11">
        <v>4</v>
      </c>
      <c r="K110" s="11">
        <f t="shared" si="5"/>
        <v>54.6</v>
      </c>
    </row>
    <row r="111" spans="1:11" ht="13.5" customHeight="1">
      <c r="A111" s="172">
        <v>108</v>
      </c>
      <c r="B111" s="56" t="s">
        <v>114</v>
      </c>
      <c r="C111" s="21" t="s">
        <v>228</v>
      </c>
      <c r="D111" s="20">
        <v>30</v>
      </c>
      <c r="E111" s="11" t="s">
        <v>229</v>
      </c>
      <c r="F111" s="11">
        <v>28</v>
      </c>
      <c r="G111" s="11">
        <v>14</v>
      </c>
      <c r="H111" s="11">
        <v>4</v>
      </c>
      <c r="I111" s="11">
        <v>0.7</v>
      </c>
      <c r="J111" s="11">
        <v>0</v>
      </c>
      <c r="K111" s="11">
        <f t="shared" si="5"/>
        <v>46.7</v>
      </c>
    </row>
    <row r="112" spans="1:11" ht="13.5" customHeight="1">
      <c r="A112" s="172">
        <v>109</v>
      </c>
      <c r="B112" s="56" t="s">
        <v>141</v>
      </c>
      <c r="C112" s="21" t="s">
        <v>228</v>
      </c>
      <c r="D112" s="20">
        <v>20</v>
      </c>
      <c r="E112" s="11" t="s">
        <v>229</v>
      </c>
      <c r="F112" s="11">
        <v>29</v>
      </c>
      <c r="G112" s="11">
        <v>21</v>
      </c>
      <c r="H112" s="11">
        <v>8</v>
      </c>
      <c r="I112" s="11">
        <v>0.5</v>
      </c>
      <c r="J112" s="11">
        <v>6</v>
      </c>
      <c r="K112" s="11">
        <f t="shared" si="5"/>
        <v>64.5</v>
      </c>
    </row>
    <row r="113" spans="1:11" ht="15" customHeight="1">
      <c r="A113" s="172">
        <v>110</v>
      </c>
      <c r="B113" s="44" t="s">
        <v>161</v>
      </c>
      <c r="C113" s="21" t="s">
        <v>228</v>
      </c>
      <c r="D113" s="20">
        <v>10</v>
      </c>
      <c r="E113" s="11" t="s">
        <v>229</v>
      </c>
      <c r="F113" s="11">
        <v>4</v>
      </c>
      <c r="G113" s="11">
        <v>8</v>
      </c>
      <c r="H113" s="11">
        <v>4</v>
      </c>
      <c r="I113" s="11">
        <v>0.2</v>
      </c>
      <c r="J113" s="11">
        <v>0</v>
      </c>
      <c r="K113" s="11">
        <f t="shared" si="5"/>
        <v>16.2</v>
      </c>
    </row>
    <row r="114" spans="1:11" ht="15" customHeight="1">
      <c r="A114" s="172">
        <v>111</v>
      </c>
      <c r="B114" s="19" t="s">
        <v>324</v>
      </c>
      <c r="C114" s="131" t="s">
        <v>651</v>
      </c>
      <c r="D114" s="91"/>
      <c r="E114" s="11" t="s">
        <v>229</v>
      </c>
      <c r="F114" s="5">
        <v>2</v>
      </c>
      <c r="G114" s="5">
        <v>3</v>
      </c>
      <c r="H114" s="5"/>
      <c r="I114" s="11">
        <v>0.1</v>
      </c>
      <c r="J114" s="5">
        <v>0</v>
      </c>
      <c r="K114" s="5">
        <f t="shared" si="5"/>
        <v>5.0999999999999996</v>
      </c>
    </row>
    <row r="115" spans="1:11" ht="15" customHeight="1">
      <c r="A115" s="172">
        <v>112</v>
      </c>
      <c r="B115" s="166" t="s">
        <v>799</v>
      </c>
      <c r="C115" s="164" t="s">
        <v>300</v>
      </c>
      <c r="D115" s="164"/>
      <c r="E115" s="164" t="s">
        <v>229</v>
      </c>
      <c r="F115" s="5">
        <v>2</v>
      </c>
      <c r="G115" s="5">
        <v>2</v>
      </c>
      <c r="H115" s="5">
        <v>2</v>
      </c>
      <c r="I115" s="164">
        <v>0.1</v>
      </c>
      <c r="J115" s="5">
        <v>0</v>
      </c>
      <c r="K115" s="5">
        <f t="shared" ref="K115" si="9">SUM(F115:J115)</f>
        <v>6.1</v>
      </c>
    </row>
    <row r="116" spans="1:11" ht="15" customHeight="1">
      <c r="A116" s="172">
        <v>113</v>
      </c>
      <c r="B116" s="56" t="s">
        <v>208</v>
      </c>
      <c r="C116" s="21" t="s">
        <v>228</v>
      </c>
      <c r="D116" s="20">
        <v>5</v>
      </c>
      <c r="E116" s="11" t="s">
        <v>229</v>
      </c>
      <c r="F116" s="5">
        <v>5</v>
      </c>
      <c r="G116" s="5">
        <v>4</v>
      </c>
      <c r="H116" s="5">
        <v>2</v>
      </c>
      <c r="I116" s="11">
        <v>0.2</v>
      </c>
      <c r="J116" s="5">
        <v>0</v>
      </c>
      <c r="K116" s="5">
        <f t="shared" si="5"/>
        <v>11.2</v>
      </c>
    </row>
    <row r="117" spans="1:11" ht="15" customHeight="1">
      <c r="A117" s="172">
        <v>114</v>
      </c>
      <c r="B117" s="44" t="s">
        <v>113</v>
      </c>
      <c r="C117" s="21" t="s">
        <v>228</v>
      </c>
      <c r="D117" s="20">
        <v>30</v>
      </c>
      <c r="E117" s="11" t="s">
        <v>229</v>
      </c>
      <c r="F117" s="11">
        <v>38</v>
      </c>
      <c r="G117" s="11">
        <v>19</v>
      </c>
      <c r="H117" s="11">
        <v>5</v>
      </c>
      <c r="I117" s="131">
        <v>0.6</v>
      </c>
      <c r="J117" s="11">
        <v>5</v>
      </c>
      <c r="K117" s="11">
        <f t="shared" si="5"/>
        <v>67.599999999999994</v>
      </c>
    </row>
    <row r="118" spans="1:11" ht="15" customHeight="1">
      <c r="A118" s="172">
        <v>115</v>
      </c>
      <c r="B118" s="56" t="s">
        <v>192</v>
      </c>
      <c r="C118" s="21" t="s">
        <v>228</v>
      </c>
      <c r="D118" s="20">
        <v>7</v>
      </c>
      <c r="E118" s="11" t="s">
        <v>229</v>
      </c>
      <c r="F118" s="11">
        <v>10</v>
      </c>
      <c r="G118" s="11">
        <v>5</v>
      </c>
      <c r="H118" s="11">
        <v>4</v>
      </c>
      <c r="I118" s="11">
        <v>0.2</v>
      </c>
      <c r="J118" s="11">
        <v>2</v>
      </c>
      <c r="K118" s="11">
        <f t="shared" si="5"/>
        <v>21.2</v>
      </c>
    </row>
    <row r="119" spans="1:11" ht="15" customHeight="1">
      <c r="A119" s="172">
        <v>116</v>
      </c>
      <c r="B119" s="19" t="s">
        <v>327</v>
      </c>
      <c r="C119" s="91" t="s">
        <v>340</v>
      </c>
      <c r="D119" s="91"/>
      <c r="E119" s="11" t="s">
        <v>229</v>
      </c>
      <c r="F119" s="5">
        <v>4</v>
      </c>
      <c r="G119" s="5">
        <v>3</v>
      </c>
      <c r="H119" s="5"/>
      <c r="I119" s="11">
        <v>0.1</v>
      </c>
      <c r="J119" s="5">
        <v>0</v>
      </c>
      <c r="K119" s="5">
        <f t="shared" si="5"/>
        <v>7.1</v>
      </c>
    </row>
    <row r="120" spans="1:11" ht="15" customHeight="1">
      <c r="A120" s="172">
        <v>117</v>
      </c>
      <c r="B120" s="19" t="s">
        <v>641</v>
      </c>
      <c r="C120" s="21" t="s">
        <v>228</v>
      </c>
      <c r="D120" s="46">
        <v>5</v>
      </c>
      <c r="E120" s="11" t="s">
        <v>229</v>
      </c>
      <c r="F120" s="5">
        <v>12</v>
      </c>
      <c r="G120" s="5">
        <v>5</v>
      </c>
      <c r="H120" s="5">
        <v>3</v>
      </c>
      <c r="I120" s="11">
        <v>0.2</v>
      </c>
      <c r="J120" s="5">
        <v>0</v>
      </c>
      <c r="K120" s="5">
        <f t="shared" si="5"/>
        <v>20.2</v>
      </c>
    </row>
    <row r="121" spans="1:11" ht="15" customHeight="1">
      <c r="A121" s="172">
        <v>118</v>
      </c>
      <c r="B121" s="56" t="s">
        <v>196</v>
      </c>
      <c r="C121" s="21" t="s">
        <v>228</v>
      </c>
      <c r="D121" s="20">
        <v>6</v>
      </c>
      <c r="E121" s="76" t="s">
        <v>229</v>
      </c>
      <c r="F121" s="5">
        <v>12</v>
      </c>
      <c r="G121" s="5">
        <v>8</v>
      </c>
      <c r="H121" s="5">
        <v>5</v>
      </c>
      <c r="I121" s="76">
        <v>0.2</v>
      </c>
      <c r="J121" s="5">
        <v>3</v>
      </c>
      <c r="K121" s="76">
        <f t="shared" si="5"/>
        <v>28.2</v>
      </c>
    </row>
    <row r="122" spans="1:11" ht="15" customHeight="1">
      <c r="A122" s="172">
        <v>119</v>
      </c>
      <c r="B122" s="58" t="s">
        <v>277</v>
      </c>
      <c r="C122" s="91" t="s">
        <v>300</v>
      </c>
      <c r="D122" s="91"/>
      <c r="E122" s="11" t="s">
        <v>229</v>
      </c>
      <c r="F122" s="5">
        <v>2</v>
      </c>
      <c r="G122" s="5">
        <v>2</v>
      </c>
      <c r="H122" s="5">
        <v>2</v>
      </c>
      <c r="I122" s="11">
        <v>0.1</v>
      </c>
      <c r="J122" s="5">
        <v>0</v>
      </c>
      <c r="K122" s="5">
        <f t="shared" si="5"/>
        <v>6.1</v>
      </c>
    </row>
    <row r="123" spans="1:11" ht="15" customHeight="1">
      <c r="A123" s="172">
        <v>120</v>
      </c>
      <c r="B123" s="56" t="s">
        <v>635</v>
      </c>
      <c r="C123" s="21" t="s">
        <v>228</v>
      </c>
      <c r="D123" s="20">
        <v>5</v>
      </c>
      <c r="E123" s="11" t="s">
        <v>229</v>
      </c>
      <c r="F123" s="5">
        <v>5</v>
      </c>
      <c r="G123" s="5">
        <v>7</v>
      </c>
      <c r="H123" s="5">
        <v>5</v>
      </c>
      <c r="I123" s="11">
        <v>0.2</v>
      </c>
      <c r="J123" s="5">
        <v>5</v>
      </c>
      <c r="K123" s="91">
        <f t="shared" si="5"/>
        <v>22.2</v>
      </c>
    </row>
    <row r="124" spans="1:11" ht="15" customHeight="1">
      <c r="A124" s="172">
        <v>121</v>
      </c>
      <c r="B124" s="56" t="s">
        <v>183</v>
      </c>
      <c r="C124" s="21" t="s">
        <v>228</v>
      </c>
      <c r="D124" s="20">
        <v>8</v>
      </c>
      <c r="E124" s="11" t="s">
        <v>229</v>
      </c>
      <c r="F124" s="91">
        <v>10</v>
      </c>
      <c r="G124" s="91">
        <v>6</v>
      </c>
      <c r="H124" s="91">
        <v>4</v>
      </c>
      <c r="I124" s="11">
        <v>0.4</v>
      </c>
      <c r="J124" s="91">
        <v>5</v>
      </c>
      <c r="K124" s="91">
        <f t="shared" si="5"/>
        <v>25.4</v>
      </c>
    </row>
    <row r="125" spans="1:11" ht="16.5" customHeight="1">
      <c r="A125" s="172">
        <v>122</v>
      </c>
      <c r="B125" s="44" t="s">
        <v>214</v>
      </c>
      <c r="C125" s="21" t="s">
        <v>228</v>
      </c>
      <c r="D125" s="20">
        <v>4</v>
      </c>
      <c r="E125" s="11" t="s">
        <v>229</v>
      </c>
      <c r="F125" s="5">
        <v>8</v>
      </c>
      <c r="G125" s="5">
        <v>3</v>
      </c>
      <c r="H125" s="5">
        <v>2</v>
      </c>
      <c r="I125" s="11">
        <v>0.3</v>
      </c>
      <c r="J125" s="5">
        <v>4</v>
      </c>
      <c r="K125" s="5">
        <f t="shared" si="5"/>
        <v>17.3</v>
      </c>
    </row>
    <row r="126" spans="1:11" ht="16.5" customHeight="1">
      <c r="A126" s="172">
        <v>123</v>
      </c>
      <c r="B126" s="58" t="s">
        <v>252</v>
      </c>
      <c r="C126" s="91" t="s">
        <v>300</v>
      </c>
      <c r="D126" s="91"/>
      <c r="E126" s="11" t="s">
        <v>229</v>
      </c>
      <c r="F126" s="5">
        <v>2</v>
      </c>
      <c r="G126" s="5">
        <v>2</v>
      </c>
      <c r="H126" s="5">
        <v>2</v>
      </c>
      <c r="I126" s="11">
        <v>0.1</v>
      </c>
      <c r="J126" s="5">
        <v>0</v>
      </c>
      <c r="K126" s="5">
        <f t="shared" si="5"/>
        <v>6.1</v>
      </c>
    </row>
    <row r="127" spans="1:11" ht="16.5" customHeight="1">
      <c r="A127" s="172">
        <v>124</v>
      </c>
      <c r="B127" s="19" t="s">
        <v>219</v>
      </c>
      <c r="C127" s="21" t="s">
        <v>228</v>
      </c>
      <c r="D127" s="20">
        <v>4</v>
      </c>
      <c r="E127" s="11" t="s">
        <v>229</v>
      </c>
      <c r="F127" s="5">
        <v>6</v>
      </c>
      <c r="G127" s="5">
        <v>8</v>
      </c>
      <c r="H127" s="5">
        <v>5</v>
      </c>
      <c r="I127" s="11">
        <v>0.3</v>
      </c>
      <c r="J127" s="5">
        <v>0</v>
      </c>
      <c r="K127" s="5">
        <f t="shared" si="5"/>
        <v>19.3</v>
      </c>
    </row>
    <row r="128" spans="1:11" ht="16.5" customHeight="1">
      <c r="A128" s="172">
        <v>125</v>
      </c>
      <c r="B128" s="19" t="s">
        <v>220</v>
      </c>
      <c r="C128" s="21" t="s">
        <v>228</v>
      </c>
      <c r="D128" s="20">
        <v>4</v>
      </c>
      <c r="E128" s="11" t="s">
        <v>229</v>
      </c>
      <c r="F128" s="5">
        <v>8</v>
      </c>
      <c r="G128" s="5">
        <v>5</v>
      </c>
      <c r="H128" s="5">
        <v>3</v>
      </c>
      <c r="I128" s="11">
        <v>0.3</v>
      </c>
      <c r="J128" s="5">
        <v>5</v>
      </c>
      <c r="K128" s="5">
        <f t="shared" si="5"/>
        <v>21.3</v>
      </c>
    </row>
    <row r="129" spans="1:11" ht="16.5" customHeight="1">
      <c r="A129" s="172">
        <v>126</v>
      </c>
      <c r="B129" s="59" t="s">
        <v>279</v>
      </c>
      <c r="C129" s="91" t="s">
        <v>300</v>
      </c>
      <c r="D129" s="91"/>
      <c r="E129" s="11" t="s">
        <v>229</v>
      </c>
      <c r="F129" s="5">
        <v>3</v>
      </c>
      <c r="G129" s="5">
        <v>2</v>
      </c>
      <c r="H129" s="5">
        <v>2</v>
      </c>
      <c r="I129" s="11">
        <v>0.1</v>
      </c>
      <c r="J129" s="5">
        <v>0</v>
      </c>
      <c r="K129" s="5">
        <f t="shared" si="5"/>
        <v>7.1</v>
      </c>
    </row>
    <row r="130" spans="1:11" ht="16.5" customHeight="1">
      <c r="A130" s="172">
        <v>127</v>
      </c>
      <c r="B130" s="58" t="s">
        <v>234</v>
      </c>
      <c r="C130" s="91" t="s">
        <v>300</v>
      </c>
      <c r="D130" s="91"/>
      <c r="E130" s="11" t="s">
        <v>229</v>
      </c>
      <c r="F130" s="5">
        <v>5</v>
      </c>
      <c r="G130" s="5">
        <v>2</v>
      </c>
      <c r="H130" s="5">
        <v>5</v>
      </c>
      <c r="I130" s="11">
        <v>0.1</v>
      </c>
      <c r="J130" s="5">
        <v>0</v>
      </c>
      <c r="K130" s="5">
        <f t="shared" si="5"/>
        <v>12.1</v>
      </c>
    </row>
    <row r="131" spans="1:11" ht="16.5" customHeight="1">
      <c r="A131" s="172">
        <v>128</v>
      </c>
      <c r="B131" s="58" t="s">
        <v>236</v>
      </c>
      <c r="C131" s="91" t="s">
        <v>300</v>
      </c>
      <c r="D131" s="91"/>
      <c r="E131" s="11" t="s">
        <v>229</v>
      </c>
      <c r="F131" s="5">
        <v>3</v>
      </c>
      <c r="G131" s="5">
        <v>2</v>
      </c>
      <c r="H131" s="5">
        <v>2</v>
      </c>
      <c r="I131" s="11">
        <v>0.1</v>
      </c>
      <c r="J131" s="5">
        <v>0</v>
      </c>
      <c r="K131" s="5">
        <f t="shared" si="5"/>
        <v>7.1</v>
      </c>
    </row>
    <row r="132" spans="1:11" ht="16.5" customHeight="1">
      <c r="A132" s="172">
        <v>129</v>
      </c>
      <c r="B132" s="58" t="s">
        <v>237</v>
      </c>
      <c r="C132" s="91" t="s">
        <v>300</v>
      </c>
      <c r="D132" s="91"/>
      <c r="E132" s="11" t="s">
        <v>229</v>
      </c>
      <c r="F132" s="5">
        <v>4</v>
      </c>
      <c r="G132" s="5">
        <v>2</v>
      </c>
      <c r="H132" s="5">
        <v>4</v>
      </c>
      <c r="I132" s="11">
        <v>0.1</v>
      </c>
      <c r="J132" s="5">
        <v>0</v>
      </c>
      <c r="K132" s="5">
        <f t="shared" si="5"/>
        <v>10.1</v>
      </c>
    </row>
    <row r="133" spans="1:11" ht="16.5" customHeight="1">
      <c r="A133" s="172">
        <v>130</v>
      </c>
      <c r="B133" s="56" t="s">
        <v>156</v>
      </c>
      <c r="C133" s="21" t="s">
        <v>228</v>
      </c>
      <c r="D133" s="20">
        <v>12</v>
      </c>
      <c r="E133" s="11" t="s">
        <v>229</v>
      </c>
      <c r="F133" s="91">
        <v>6</v>
      </c>
      <c r="G133" s="91">
        <v>8</v>
      </c>
      <c r="H133" s="91">
        <v>3</v>
      </c>
      <c r="I133" s="11">
        <v>0.4</v>
      </c>
      <c r="J133" s="91">
        <v>5</v>
      </c>
      <c r="K133" s="91">
        <f t="shared" si="5"/>
        <v>22.4</v>
      </c>
    </row>
    <row r="134" spans="1:11" ht="16.5" customHeight="1">
      <c r="A134" s="172">
        <v>131</v>
      </c>
      <c r="B134" s="19" t="s">
        <v>322</v>
      </c>
      <c r="C134" s="131" t="s">
        <v>651</v>
      </c>
      <c r="D134" s="91"/>
      <c r="E134" s="11" t="s">
        <v>229</v>
      </c>
      <c r="F134" s="5">
        <v>2</v>
      </c>
      <c r="G134" s="5">
        <v>3</v>
      </c>
      <c r="H134" s="5"/>
      <c r="I134" s="11">
        <v>0.1</v>
      </c>
      <c r="J134" s="5">
        <v>0</v>
      </c>
      <c r="K134" s="5">
        <f t="shared" si="5"/>
        <v>5.0999999999999996</v>
      </c>
    </row>
    <row r="135" spans="1:11" ht="16.5" customHeight="1">
      <c r="A135" s="172">
        <v>132</v>
      </c>
      <c r="B135" s="56" t="s">
        <v>642</v>
      </c>
      <c r="C135" s="21" t="s">
        <v>228</v>
      </c>
      <c r="D135" s="20">
        <v>20</v>
      </c>
      <c r="E135" s="11" t="s">
        <v>229</v>
      </c>
      <c r="F135" s="91">
        <v>15</v>
      </c>
      <c r="G135" s="91">
        <v>17</v>
      </c>
      <c r="H135" s="91">
        <v>5</v>
      </c>
      <c r="I135" s="131">
        <v>0.5</v>
      </c>
      <c r="J135" s="91">
        <v>6</v>
      </c>
      <c r="K135" s="91">
        <f t="shared" si="5"/>
        <v>43.5</v>
      </c>
    </row>
    <row r="136" spans="1:11" ht="16.5" customHeight="1">
      <c r="A136" s="172">
        <v>133</v>
      </c>
      <c r="B136" s="44" t="s">
        <v>151</v>
      </c>
      <c r="C136" s="21" t="s">
        <v>228</v>
      </c>
      <c r="D136" s="20">
        <v>15</v>
      </c>
      <c r="E136" s="11" t="s">
        <v>229</v>
      </c>
      <c r="F136" s="91">
        <v>19</v>
      </c>
      <c r="G136" s="91">
        <v>10</v>
      </c>
      <c r="H136" s="91">
        <v>3</v>
      </c>
      <c r="I136" s="11">
        <v>0.4</v>
      </c>
      <c r="J136" s="91">
        <v>3</v>
      </c>
      <c r="K136" s="91">
        <f t="shared" si="5"/>
        <v>35.4</v>
      </c>
    </row>
    <row r="137" spans="1:11" ht="16.5" customHeight="1">
      <c r="A137" s="172">
        <v>134</v>
      </c>
      <c r="B137" s="59" t="s">
        <v>297</v>
      </c>
      <c r="C137" s="91" t="s">
        <v>300</v>
      </c>
      <c r="D137" s="91"/>
      <c r="E137" s="11" t="s">
        <v>229</v>
      </c>
      <c r="F137" s="5">
        <v>4</v>
      </c>
      <c r="G137" s="5">
        <v>0.5</v>
      </c>
      <c r="H137" s="5">
        <v>0.1</v>
      </c>
      <c r="I137" s="11">
        <v>0.1</v>
      </c>
      <c r="J137" s="5">
        <v>0</v>
      </c>
      <c r="K137" s="5">
        <f t="shared" si="5"/>
        <v>4.6999999999999993</v>
      </c>
    </row>
    <row r="138" spans="1:11" ht="16.5" customHeight="1">
      <c r="A138" s="172">
        <v>135</v>
      </c>
      <c r="B138" s="56" t="s">
        <v>216</v>
      </c>
      <c r="C138" s="21" t="s">
        <v>228</v>
      </c>
      <c r="D138" s="20">
        <v>4</v>
      </c>
      <c r="E138" s="11" t="s">
        <v>229</v>
      </c>
      <c r="F138" s="5">
        <v>6</v>
      </c>
      <c r="G138" s="5">
        <v>4</v>
      </c>
      <c r="H138" s="5">
        <v>11</v>
      </c>
      <c r="I138" s="11">
        <v>0.3</v>
      </c>
      <c r="J138" s="5">
        <v>5</v>
      </c>
      <c r="K138" s="5">
        <f t="shared" si="5"/>
        <v>26.3</v>
      </c>
    </row>
    <row r="139" spans="1:11" ht="16.5" customHeight="1">
      <c r="A139" s="172">
        <v>136</v>
      </c>
      <c r="B139" s="58" t="s">
        <v>269</v>
      </c>
      <c r="C139" s="91" t="s">
        <v>300</v>
      </c>
      <c r="D139" s="91"/>
      <c r="E139" s="80" t="s">
        <v>229</v>
      </c>
      <c r="F139" s="5">
        <v>3</v>
      </c>
      <c r="G139" s="5">
        <v>2</v>
      </c>
      <c r="H139" s="5">
        <v>3</v>
      </c>
      <c r="I139" s="80">
        <v>0.1</v>
      </c>
      <c r="J139" s="5">
        <v>0</v>
      </c>
      <c r="K139" s="5">
        <f t="shared" si="5"/>
        <v>8.1</v>
      </c>
    </row>
    <row r="140" spans="1:11" ht="15.75">
      <c r="A140" s="172">
        <v>137</v>
      </c>
      <c r="B140" s="56" t="s">
        <v>162</v>
      </c>
      <c r="C140" s="21" t="s">
        <v>228</v>
      </c>
      <c r="D140" s="20">
        <v>10</v>
      </c>
      <c r="E140" s="80" t="s">
        <v>229</v>
      </c>
      <c r="F140" s="91">
        <v>10</v>
      </c>
      <c r="G140" s="91">
        <v>8</v>
      </c>
      <c r="H140" s="91">
        <v>3</v>
      </c>
      <c r="I140" s="80">
        <v>0.3</v>
      </c>
      <c r="J140" s="91">
        <v>10</v>
      </c>
      <c r="K140" s="91">
        <f t="shared" si="5"/>
        <v>31.3</v>
      </c>
    </row>
    <row r="141" spans="1:11" ht="16.5" customHeight="1">
      <c r="A141" s="172">
        <v>138</v>
      </c>
      <c r="B141" s="56" t="s">
        <v>137</v>
      </c>
      <c r="C141" s="21" t="s">
        <v>228</v>
      </c>
      <c r="D141" s="20">
        <v>20</v>
      </c>
      <c r="E141" s="11" t="s">
        <v>229</v>
      </c>
      <c r="F141" s="91">
        <v>22</v>
      </c>
      <c r="G141" s="91">
        <v>15</v>
      </c>
      <c r="H141" s="91">
        <v>6</v>
      </c>
      <c r="I141" s="131">
        <v>0.5</v>
      </c>
      <c r="J141" s="91">
        <v>11</v>
      </c>
      <c r="K141" s="91">
        <f t="shared" ref="K141:K209" si="10">SUM(F141:J141)</f>
        <v>54.5</v>
      </c>
    </row>
    <row r="142" spans="1:11" ht="16.5" customHeight="1">
      <c r="A142" s="172">
        <v>139</v>
      </c>
      <c r="B142" s="45" t="s">
        <v>211</v>
      </c>
      <c r="C142" s="21" t="s">
        <v>228</v>
      </c>
      <c r="D142" s="46">
        <v>5</v>
      </c>
      <c r="E142" s="11" t="s">
        <v>229</v>
      </c>
      <c r="F142" s="5">
        <v>8</v>
      </c>
      <c r="G142" s="5">
        <v>5</v>
      </c>
      <c r="H142" s="5">
        <v>4</v>
      </c>
      <c r="I142" s="11">
        <v>0.4</v>
      </c>
      <c r="J142" s="5">
        <v>0</v>
      </c>
      <c r="K142" s="5">
        <f t="shared" si="10"/>
        <v>17.399999999999999</v>
      </c>
    </row>
    <row r="143" spans="1:11" ht="16.5" customHeight="1">
      <c r="A143" s="172">
        <v>140</v>
      </c>
      <c r="B143" s="19" t="s">
        <v>201</v>
      </c>
      <c r="C143" s="21" t="s">
        <v>228</v>
      </c>
      <c r="D143" s="46">
        <v>6</v>
      </c>
      <c r="E143" s="11" t="s">
        <v>229</v>
      </c>
      <c r="F143" s="5">
        <v>5</v>
      </c>
      <c r="G143" s="5">
        <v>6</v>
      </c>
      <c r="H143" s="5">
        <v>2</v>
      </c>
      <c r="I143" s="11">
        <v>0.2</v>
      </c>
      <c r="J143" s="5">
        <v>3</v>
      </c>
      <c r="K143" s="5">
        <f t="shared" si="10"/>
        <v>16.2</v>
      </c>
    </row>
    <row r="144" spans="1:11" ht="16.5" customHeight="1">
      <c r="A144" s="172">
        <v>141</v>
      </c>
      <c r="B144" s="56" t="s">
        <v>221</v>
      </c>
      <c r="C144" s="21" t="s">
        <v>228</v>
      </c>
      <c r="D144" s="20">
        <v>3</v>
      </c>
      <c r="E144" s="11" t="s">
        <v>229</v>
      </c>
      <c r="F144" s="5">
        <v>10</v>
      </c>
      <c r="G144" s="5">
        <v>6</v>
      </c>
      <c r="H144" s="5">
        <v>3</v>
      </c>
      <c r="I144" s="11">
        <v>0.2</v>
      </c>
      <c r="J144" s="5">
        <v>0</v>
      </c>
      <c r="K144" s="5">
        <f t="shared" si="10"/>
        <v>19.2</v>
      </c>
    </row>
    <row r="145" spans="1:11" ht="16.5" customHeight="1">
      <c r="A145" s="172">
        <v>142</v>
      </c>
      <c r="B145" s="56" t="s">
        <v>186</v>
      </c>
      <c r="C145" s="21" t="s">
        <v>228</v>
      </c>
      <c r="D145" s="20">
        <v>8</v>
      </c>
      <c r="E145" s="11" t="s">
        <v>229</v>
      </c>
      <c r="F145" s="91">
        <v>6</v>
      </c>
      <c r="G145" s="91">
        <v>4</v>
      </c>
      <c r="H145" s="91">
        <v>2</v>
      </c>
      <c r="I145" s="11">
        <v>0.3</v>
      </c>
      <c r="J145" s="91">
        <v>3</v>
      </c>
      <c r="K145" s="91">
        <f t="shared" si="10"/>
        <v>15.3</v>
      </c>
    </row>
    <row r="146" spans="1:11" ht="16.5" customHeight="1">
      <c r="A146" s="172">
        <v>143</v>
      </c>
      <c r="B146" s="19" t="s">
        <v>333</v>
      </c>
      <c r="C146" s="91" t="s">
        <v>340</v>
      </c>
      <c r="D146" s="91"/>
      <c r="E146" s="11" t="s">
        <v>229</v>
      </c>
      <c r="F146" s="5">
        <v>3</v>
      </c>
      <c r="G146" s="5">
        <v>3</v>
      </c>
      <c r="H146" s="5"/>
      <c r="I146" s="11">
        <v>0.1</v>
      </c>
      <c r="J146" s="5">
        <v>0</v>
      </c>
      <c r="K146" s="5">
        <f t="shared" si="10"/>
        <v>6.1</v>
      </c>
    </row>
    <row r="147" spans="1:11" ht="16.5" customHeight="1">
      <c r="A147" s="172">
        <v>144</v>
      </c>
      <c r="B147" s="19" t="s">
        <v>315</v>
      </c>
      <c r="C147" s="91" t="s">
        <v>340</v>
      </c>
      <c r="D147" s="91"/>
      <c r="E147" s="11" t="s">
        <v>229</v>
      </c>
      <c r="F147" s="5">
        <v>2</v>
      </c>
      <c r="G147" s="5">
        <v>2</v>
      </c>
      <c r="H147" s="5"/>
      <c r="I147" s="11">
        <v>0.1</v>
      </c>
      <c r="J147" s="5">
        <v>0</v>
      </c>
      <c r="K147" s="5">
        <f t="shared" si="10"/>
        <v>4.0999999999999996</v>
      </c>
    </row>
    <row r="148" spans="1:11" ht="16.5" customHeight="1">
      <c r="A148" s="172">
        <v>145</v>
      </c>
      <c r="B148" s="19" t="s">
        <v>316</v>
      </c>
      <c r="C148" s="91" t="s">
        <v>340</v>
      </c>
      <c r="D148" s="91"/>
      <c r="E148" s="11" t="s">
        <v>229</v>
      </c>
      <c r="F148" s="5">
        <v>1</v>
      </c>
      <c r="G148" s="5">
        <v>3</v>
      </c>
      <c r="H148" s="5"/>
      <c r="I148" s="11">
        <v>0.1</v>
      </c>
      <c r="J148" s="5">
        <v>0</v>
      </c>
      <c r="K148" s="5">
        <f t="shared" si="10"/>
        <v>4.0999999999999996</v>
      </c>
    </row>
    <row r="149" spans="1:11" ht="16.5" customHeight="1">
      <c r="A149" s="172">
        <v>146</v>
      </c>
      <c r="B149" s="19" t="s">
        <v>310</v>
      </c>
      <c r="C149" s="91" t="s">
        <v>340</v>
      </c>
      <c r="D149" s="91"/>
      <c r="E149" s="76" t="s">
        <v>229</v>
      </c>
      <c r="F149" s="5">
        <v>3</v>
      </c>
      <c r="G149" s="5">
        <v>5</v>
      </c>
      <c r="H149" s="5"/>
      <c r="I149" s="76">
        <v>0.1</v>
      </c>
      <c r="J149" s="5">
        <v>0</v>
      </c>
      <c r="K149" s="5">
        <f t="shared" si="10"/>
        <v>8.1</v>
      </c>
    </row>
    <row r="150" spans="1:11" ht="16.5" customHeight="1">
      <c r="A150" s="172">
        <v>147</v>
      </c>
      <c r="B150" s="56" t="s">
        <v>637</v>
      </c>
      <c r="C150" s="21" t="s">
        <v>228</v>
      </c>
      <c r="D150" s="20">
        <v>20</v>
      </c>
      <c r="E150" s="76" t="s">
        <v>229</v>
      </c>
      <c r="F150" s="91">
        <v>21</v>
      </c>
      <c r="G150" s="91">
        <v>22</v>
      </c>
      <c r="H150" s="91">
        <v>5</v>
      </c>
      <c r="I150" s="131">
        <v>0.4</v>
      </c>
      <c r="J150" s="91">
        <v>11</v>
      </c>
      <c r="K150" s="91">
        <f t="shared" si="10"/>
        <v>59.4</v>
      </c>
    </row>
    <row r="151" spans="1:11" ht="16.5" customHeight="1">
      <c r="A151" s="172">
        <v>148</v>
      </c>
      <c r="B151" s="166" t="s">
        <v>815</v>
      </c>
      <c r="C151" s="21" t="s">
        <v>300</v>
      </c>
      <c r="D151" s="20"/>
      <c r="E151" s="169" t="s">
        <v>229</v>
      </c>
      <c r="F151" s="5">
        <v>2</v>
      </c>
      <c r="G151" s="5">
        <v>2</v>
      </c>
      <c r="H151" s="5"/>
      <c r="I151" s="169">
        <v>0.1</v>
      </c>
      <c r="J151" s="5">
        <v>0</v>
      </c>
      <c r="K151" s="5">
        <f t="shared" ref="K151" si="11">SUM(F151:J151)</f>
        <v>4.0999999999999996</v>
      </c>
    </row>
    <row r="152" spans="1:11" ht="16.5" customHeight="1">
      <c r="A152" s="172">
        <v>149</v>
      </c>
      <c r="B152" s="56" t="s">
        <v>123</v>
      </c>
      <c r="C152" s="21" t="s">
        <v>228</v>
      </c>
      <c r="D152" s="20">
        <v>30</v>
      </c>
      <c r="E152" s="11" t="s">
        <v>229</v>
      </c>
      <c r="F152" s="91">
        <v>23</v>
      </c>
      <c r="G152" s="91">
        <v>19</v>
      </c>
      <c r="H152" s="91">
        <v>6</v>
      </c>
      <c r="I152" s="131">
        <v>0.5</v>
      </c>
      <c r="J152" s="91">
        <v>8</v>
      </c>
      <c r="K152" s="91">
        <f t="shared" si="10"/>
        <v>56.5</v>
      </c>
    </row>
    <row r="153" spans="1:11" ht="16.5" customHeight="1">
      <c r="A153" s="172">
        <v>150</v>
      </c>
      <c r="B153" s="56" t="s">
        <v>150</v>
      </c>
      <c r="C153" s="21" t="s">
        <v>228</v>
      </c>
      <c r="D153" s="20">
        <v>15</v>
      </c>
      <c r="E153" s="11" t="s">
        <v>229</v>
      </c>
      <c r="F153" s="91">
        <v>19</v>
      </c>
      <c r="G153" s="91">
        <v>11</v>
      </c>
      <c r="H153" s="91">
        <v>3</v>
      </c>
      <c r="I153" s="11">
        <v>0.2</v>
      </c>
      <c r="J153" s="91">
        <v>5</v>
      </c>
      <c r="K153" s="91">
        <f t="shared" si="10"/>
        <v>38.200000000000003</v>
      </c>
    </row>
    <row r="154" spans="1:11" ht="16.5" customHeight="1">
      <c r="A154" s="172">
        <v>151</v>
      </c>
      <c r="B154" s="19" t="s">
        <v>332</v>
      </c>
      <c r="C154" s="131" t="s">
        <v>651</v>
      </c>
      <c r="D154" s="91"/>
      <c r="E154" s="11" t="s">
        <v>229</v>
      </c>
      <c r="F154" s="5">
        <v>3</v>
      </c>
      <c r="G154" s="5">
        <v>2</v>
      </c>
      <c r="H154" s="5"/>
      <c r="I154" s="5">
        <v>0.1</v>
      </c>
      <c r="J154" s="5">
        <v>0</v>
      </c>
      <c r="K154" s="5">
        <f t="shared" si="10"/>
        <v>5.0999999999999996</v>
      </c>
    </row>
    <row r="155" spans="1:11" ht="16.5" customHeight="1">
      <c r="A155" s="172">
        <v>152</v>
      </c>
      <c r="B155" s="19" t="s">
        <v>336</v>
      </c>
      <c r="C155" s="91" t="s">
        <v>340</v>
      </c>
      <c r="D155" s="91"/>
      <c r="E155" s="11" t="s">
        <v>229</v>
      </c>
      <c r="F155" s="5">
        <v>2</v>
      </c>
      <c r="G155" s="5">
        <v>2</v>
      </c>
      <c r="H155" s="5"/>
      <c r="I155" s="5">
        <v>0.1</v>
      </c>
      <c r="J155" s="5">
        <v>0</v>
      </c>
      <c r="K155" s="5">
        <f t="shared" si="10"/>
        <v>4.0999999999999996</v>
      </c>
    </row>
    <row r="156" spans="1:11" ht="16.5" customHeight="1">
      <c r="A156" s="172">
        <v>153</v>
      </c>
      <c r="B156" s="166" t="s">
        <v>742</v>
      </c>
      <c r="C156" s="168" t="s">
        <v>340</v>
      </c>
      <c r="D156" s="168"/>
      <c r="E156" s="168" t="s">
        <v>229</v>
      </c>
      <c r="F156" s="5">
        <v>1</v>
      </c>
      <c r="G156" s="5">
        <v>3</v>
      </c>
      <c r="H156" s="5"/>
      <c r="I156" s="168">
        <v>0.1</v>
      </c>
      <c r="J156" s="5">
        <v>0</v>
      </c>
      <c r="K156" s="5">
        <f t="shared" ref="K156" si="12">SUM(F156:J156)</f>
        <v>4.0999999999999996</v>
      </c>
    </row>
    <row r="157" spans="1:11" ht="16.5" customHeight="1">
      <c r="A157" s="172">
        <v>154</v>
      </c>
      <c r="B157" s="19" t="s">
        <v>494</v>
      </c>
      <c r="C157" s="91" t="s">
        <v>649</v>
      </c>
      <c r="D157" s="91"/>
      <c r="E157" s="11" t="s">
        <v>229</v>
      </c>
      <c r="F157" s="5">
        <v>2</v>
      </c>
      <c r="G157" s="5">
        <v>2</v>
      </c>
      <c r="H157" s="5"/>
      <c r="I157" s="5">
        <v>0.1</v>
      </c>
      <c r="J157" s="5">
        <v>0</v>
      </c>
      <c r="K157" s="5">
        <f t="shared" si="10"/>
        <v>4.0999999999999996</v>
      </c>
    </row>
    <row r="158" spans="1:11" ht="16.5" customHeight="1">
      <c r="A158" s="172">
        <v>155</v>
      </c>
      <c r="B158" s="19" t="s">
        <v>314</v>
      </c>
      <c r="C158" s="91" t="s">
        <v>340</v>
      </c>
      <c r="D158" s="91"/>
      <c r="E158" s="11" t="s">
        <v>229</v>
      </c>
      <c r="F158" s="5">
        <v>1</v>
      </c>
      <c r="G158" s="5">
        <v>2</v>
      </c>
      <c r="H158" s="5"/>
      <c r="I158" s="11">
        <v>0.1</v>
      </c>
      <c r="J158" s="5">
        <v>0</v>
      </c>
      <c r="K158" s="5">
        <f t="shared" si="10"/>
        <v>3.1</v>
      </c>
    </row>
    <row r="159" spans="1:11" ht="16.5" customHeight="1">
      <c r="A159" s="172">
        <v>156</v>
      </c>
      <c r="B159" s="56" t="s">
        <v>199</v>
      </c>
      <c r="C159" s="21" t="s">
        <v>228</v>
      </c>
      <c r="D159" s="20">
        <v>6</v>
      </c>
      <c r="E159" s="11" t="s">
        <v>229</v>
      </c>
      <c r="F159" s="5">
        <v>15</v>
      </c>
      <c r="G159" s="5">
        <v>5</v>
      </c>
      <c r="H159" s="5">
        <v>3</v>
      </c>
      <c r="I159" s="11">
        <v>0.2</v>
      </c>
      <c r="J159" s="5">
        <v>5</v>
      </c>
      <c r="K159" s="5">
        <f t="shared" si="10"/>
        <v>28.2</v>
      </c>
    </row>
    <row r="160" spans="1:11" ht="15" customHeight="1">
      <c r="A160" s="172">
        <v>157</v>
      </c>
      <c r="B160" s="58" t="s">
        <v>231</v>
      </c>
      <c r="C160" s="91" t="s">
        <v>300</v>
      </c>
      <c r="D160" s="91"/>
      <c r="E160" s="11" t="s">
        <v>229</v>
      </c>
      <c r="F160" s="5">
        <v>3</v>
      </c>
      <c r="G160" s="5">
        <v>1</v>
      </c>
      <c r="H160" s="5">
        <v>2</v>
      </c>
      <c r="I160" s="11">
        <v>0.1</v>
      </c>
      <c r="J160" s="5">
        <v>0</v>
      </c>
      <c r="K160" s="5">
        <f t="shared" si="10"/>
        <v>6.1</v>
      </c>
    </row>
    <row r="161" spans="1:11" ht="16.5" customHeight="1">
      <c r="A161" s="172">
        <v>158</v>
      </c>
      <c r="B161" s="56" t="s">
        <v>144</v>
      </c>
      <c r="C161" s="21" t="s">
        <v>228</v>
      </c>
      <c r="D161" s="20">
        <v>18</v>
      </c>
      <c r="E161" s="11" t="s">
        <v>229</v>
      </c>
      <c r="F161" s="91">
        <v>23</v>
      </c>
      <c r="G161" s="91">
        <v>20</v>
      </c>
      <c r="H161" s="91">
        <v>5</v>
      </c>
      <c r="I161" s="131">
        <v>0.4</v>
      </c>
      <c r="J161" s="91">
        <v>7</v>
      </c>
      <c r="K161" s="91">
        <f t="shared" si="10"/>
        <v>55.4</v>
      </c>
    </row>
    <row r="162" spans="1:11" ht="16.5" customHeight="1">
      <c r="A162" s="172">
        <v>159</v>
      </c>
      <c r="B162" s="56" t="s">
        <v>207</v>
      </c>
      <c r="C162" s="21" t="s">
        <v>228</v>
      </c>
      <c r="D162" s="20">
        <v>5</v>
      </c>
      <c r="E162" s="11" t="s">
        <v>229</v>
      </c>
      <c r="F162" s="5">
        <v>15</v>
      </c>
      <c r="G162" s="5">
        <v>3</v>
      </c>
      <c r="H162" s="5">
        <v>3</v>
      </c>
      <c r="I162" s="86">
        <v>0.2</v>
      </c>
      <c r="J162" s="5">
        <v>8</v>
      </c>
      <c r="K162" s="5">
        <f t="shared" si="10"/>
        <v>29.2</v>
      </c>
    </row>
    <row r="163" spans="1:11" ht="16.5" customHeight="1">
      <c r="A163" s="172">
        <v>160</v>
      </c>
      <c r="B163" s="56" t="s">
        <v>135</v>
      </c>
      <c r="C163" s="21" t="s">
        <v>228</v>
      </c>
      <c r="D163" s="20">
        <v>20</v>
      </c>
      <c r="E163" s="11" t="s">
        <v>229</v>
      </c>
      <c r="F163" s="91">
        <v>19</v>
      </c>
      <c r="G163" s="91">
        <v>17</v>
      </c>
      <c r="H163" s="91">
        <v>6</v>
      </c>
      <c r="I163" s="131">
        <v>0.4</v>
      </c>
      <c r="J163" s="91">
        <v>7</v>
      </c>
      <c r="K163" s="91">
        <f t="shared" si="10"/>
        <v>49.4</v>
      </c>
    </row>
    <row r="164" spans="1:11" ht="16.5" customHeight="1">
      <c r="A164" s="172">
        <v>161</v>
      </c>
      <c r="B164" s="56" t="s">
        <v>143</v>
      </c>
      <c r="C164" s="21" t="s">
        <v>228</v>
      </c>
      <c r="D164" s="20">
        <v>20</v>
      </c>
      <c r="E164" s="11" t="s">
        <v>229</v>
      </c>
      <c r="F164" s="91">
        <v>18</v>
      </c>
      <c r="G164" s="91">
        <v>21</v>
      </c>
      <c r="H164" s="91">
        <v>3</v>
      </c>
      <c r="I164" s="86">
        <v>0.5</v>
      </c>
      <c r="J164" s="91">
        <v>9</v>
      </c>
      <c r="K164" s="91">
        <f t="shared" si="10"/>
        <v>51.5</v>
      </c>
    </row>
    <row r="165" spans="1:11" ht="16.5" customHeight="1">
      <c r="A165" s="172">
        <v>162</v>
      </c>
      <c r="B165" s="56" t="s">
        <v>195</v>
      </c>
      <c r="C165" s="21" t="s">
        <v>228</v>
      </c>
      <c r="D165" s="20">
        <v>6</v>
      </c>
      <c r="E165" s="11" t="s">
        <v>229</v>
      </c>
      <c r="F165" s="5">
        <v>5</v>
      </c>
      <c r="G165" s="5">
        <v>8</v>
      </c>
      <c r="H165" s="5">
        <v>2</v>
      </c>
      <c r="I165" s="86">
        <v>0.2</v>
      </c>
      <c r="J165" s="5">
        <v>5</v>
      </c>
      <c r="K165" s="91">
        <f t="shared" si="10"/>
        <v>20.2</v>
      </c>
    </row>
    <row r="166" spans="1:11" ht="16.5" customHeight="1">
      <c r="A166" s="172">
        <v>163</v>
      </c>
      <c r="B166" s="56" t="s">
        <v>205</v>
      </c>
      <c r="C166" s="21" t="s">
        <v>228</v>
      </c>
      <c r="D166" s="20">
        <v>5</v>
      </c>
      <c r="E166" s="11" t="s">
        <v>229</v>
      </c>
      <c r="F166" s="5">
        <v>5</v>
      </c>
      <c r="G166" s="5">
        <v>5</v>
      </c>
      <c r="H166" s="5">
        <v>3</v>
      </c>
      <c r="I166" s="86">
        <v>0.1</v>
      </c>
      <c r="J166" s="5">
        <v>8</v>
      </c>
      <c r="K166" s="5">
        <f t="shared" si="10"/>
        <v>21.1</v>
      </c>
    </row>
    <row r="167" spans="1:11" ht="16.5" customHeight="1">
      <c r="A167" s="172">
        <v>164</v>
      </c>
      <c r="B167" s="56" t="s">
        <v>129</v>
      </c>
      <c r="C167" s="21" t="s">
        <v>228</v>
      </c>
      <c r="D167" s="20">
        <v>29</v>
      </c>
      <c r="E167" s="11" t="s">
        <v>229</v>
      </c>
      <c r="F167" s="91">
        <v>19</v>
      </c>
      <c r="G167" s="91">
        <v>17</v>
      </c>
      <c r="H167" s="91">
        <v>6</v>
      </c>
      <c r="I167" s="86">
        <v>0.6</v>
      </c>
      <c r="J167" s="91">
        <v>11</v>
      </c>
      <c r="K167" s="91">
        <f t="shared" si="10"/>
        <v>53.6</v>
      </c>
    </row>
    <row r="168" spans="1:11" ht="16.5" customHeight="1">
      <c r="A168" s="172">
        <v>165</v>
      </c>
      <c r="B168" s="56" t="s">
        <v>171</v>
      </c>
      <c r="C168" s="21" t="s">
        <v>228</v>
      </c>
      <c r="D168" s="20">
        <v>10</v>
      </c>
      <c r="E168" s="11" t="s">
        <v>229</v>
      </c>
      <c r="F168" s="91">
        <v>9</v>
      </c>
      <c r="G168" s="91">
        <v>9</v>
      </c>
      <c r="H168" s="91">
        <v>3</v>
      </c>
      <c r="I168" s="86">
        <v>0.2</v>
      </c>
      <c r="J168" s="91">
        <v>0</v>
      </c>
      <c r="K168" s="91">
        <f t="shared" si="10"/>
        <v>21.2</v>
      </c>
    </row>
    <row r="169" spans="1:11" ht="16.5" customHeight="1">
      <c r="A169" s="172">
        <v>166</v>
      </c>
      <c r="B169" s="59" t="s">
        <v>293</v>
      </c>
      <c r="C169" s="11" t="s">
        <v>309</v>
      </c>
      <c r="D169" s="11"/>
      <c r="E169" s="11" t="s">
        <v>229</v>
      </c>
      <c r="F169" s="5">
        <v>3</v>
      </c>
      <c r="G169" s="5">
        <v>1</v>
      </c>
      <c r="H169" s="5">
        <v>0.5</v>
      </c>
      <c r="I169" s="86">
        <v>0.1</v>
      </c>
      <c r="J169" s="5">
        <v>0</v>
      </c>
      <c r="K169" s="5">
        <f t="shared" si="10"/>
        <v>4.5999999999999996</v>
      </c>
    </row>
    <row r="170" spans="1:11" ht="16.5" customHeight="1">
      <c r="A170" s="172">
        <v>167</v>
      </c>
      <c r="B170" s="58" t="s">
        <v>284</v>
      </c>
      <c r="C170" s="11" t="s">
        <v>309</v>
      </c>
      <c r="D170" s="11"/>
      <c r="E170" s="11" t="s">
        <v>229</v>
      </c>
      <c r="F170" s="5">
        <v>3</v>
      </c>
      <c r="G170" s="5">
        <v>0.04</v>
      </c>
      <c r="H170" s="5">
        <v>0.5</v>
      </c>
      <c r="I170" s="86">
        <v>0.1</v>
      </c>
      <c r="J170" s="5">
        <v>0</v>
      </c>
      <c r="K170" s="5">
        <f t="shared" si="10"/>
        <v>3.64</v>
      </c>
    </row>
    <row r="171" spans="1:11" ht="16.5" customHeight="1">
      <c r="A171" s="172">
        <v>168</v>
      </c>
      <c r="B171" s="166" t="s">
        <v>798</v>
      </c>
      <c r="C171" s="164" t="s">
        <v>300</v>
      </c>
      <c r="D171" s="164"/>
      <c r="E171" s="164" t="s">
        <v>229</v>
      </c>
      <c r="F171" s="5">
        <v>2</v>
      </c>
      <c r="G171" s="5">
        <v>2</v>
      </c>
      <c r="H171" s="5">
        <v>2</v>
      </c>
      <c r="I171" s="164">
        <v>0.1</v>
      </c>
      <c r="J171" s="5">
        <v>0</v>
      </c>
      <c r="K171" s="5">
        <f t="shared" ref="K171" si="13">SUM(F171:J171)</f>
        <v>6.1</v>
      </c>
    </row>
    <row r="172" spans="1:11" ht="16.5" customHeight="1">
      <c r="A172" s="172">
        <v>169</v>
      </c>
      <c r="B172" s="19" t="s">
        <v>326</v>
      </c>
      <c r="C172" s="11" t="s">
        <v>340</v>
      </c>
      <c r="D172" s="11"/>
      <c r="E172" s="11" t="s">
        <v>229</v>
      </c>
      <c r="F172" s="5">
        <v>2</v>
      </c>
      <c r="G172" s="5">
        <v>3</v>
      </c>
      <c r="H172" s="5"/>
      <c r="I172" s="86">
        <v>0.1</v>
      </c>
      <c r="J172" s="5">
        <v>0</v>
      </c>
      <c r="K172" s="5">
        <f t="shared" si="10"/>
        <v>5.0999999999999996</v>
      </c>
    </row>
    <row r="173" spans="1:11" ht="16.5" customHeight="1">
      <c r="A173" s="172">
        <v>170</v>
      </c>
      <c r="B173" s="58" t="s">
        <v>257</v>
      </c>
      <c r="C173" s="11" t="s">
        <v>300</v>
      </c>
      <c r="D173" s="11"/>
      <c r="E173" s="11" t="s">
        <v>229</v>
      </c>
      <c r="F173" s="5">
        <v>4</v>
      </c>
      <c r="G173" s="5">
        <v>2</v>
      </c>
      <c r="H173" s="5">
        <v>2</v>
      </c>
      <c r="I173" s="86">
        <v>0.1</v>
      </c>
      <c r="J173" s="5">
        <v>0</v>
      </c>
      <c r="K173" s="5">
        <f t="shared" si="10"/>
        <v>8.1</v>
      </c>
    </row>
    <row r="174" spans="1:11" ht="16.5" customHeight="1">
      <c r="A174" s="172">
        <v>171</v>
      </c>
      <c r="B174" s="56" t="s">
        <v>119</v>
      </c>
      <c r="C174" s="21" t="s">
        <v>228</v>
      </c>
      <c r="D174" s="20">
        <v>30</v>
      </c>
      <c r="E174" s="11" t="s">
        <v>229</v>
      </c>
      <c r="F174" s="91">
        <v>14</v>
      </c>
      <c r="G174" s="91">
        <v>22</v>
      </c>
      <c r="H174" s="91">
        <v>5</v>
      </c>
      <c r="I174" s="131">
        <v>0.8</v>
      </c>
      <c r="J174" s="91">
        <v>5</v>
      </c>
      <c r="K174" s="91">
        <f t="shared" si="10"/>
        <v>46.8</v>
      </c>
    </row>
    <row r="175" spans="1:11" ht="16.5" customHeight="1">
      <c r="A175" s="172">
        <v>172</v>
      </c>
      <c r="B175" s="56" t="s">
        <v>181</v>
      </c>
      <c r="C175" s="21" t="s">
        <v>228</v>
      </c>
      <c r="D175" s="20">
        <v>9</v>
      </c>
      <c r="E175" s="11" t="s">
        <v>229</v>
      </c>
      <c r="F175" s="91">
        <v>12</v>
      </c>
      <c r="G175" s="91">
        <v>7</v>
      </c>
      <c r="H175" s="91">
        <v>2</v>
      </c>
      <c r="I175" s="86">
        <v>0.3</v>
      </c>
      <c r="J175" s="91">
        <v>5</v>
      </c>
      <c r="K175" s="91">
        <f t="shared" si="10"/>
        <v>26.3</v>
      </c>
    </row>
    <row r="176" spans="1:11" ht="16.5" customHeight="1">
      <c r="A176" s="172">
        <v>173</v>
      </c>
      <c r="B176" s="44" t="s">
        <v>185</v>
      </c>
      <c r="C176" s="21" t="s">
        <v>228</v>
      </c>
      <c r="D176" s="20">
        <v>8</v>
      </c>
      <c r="E176" s="11" t="s">
        <v>229</v>
      </c>
      <c r="F176" s="91">
        <v>5</v>
      </c>
      <c r="G176" s="91">
        <v>6</v>
      </c>
      <c r="H176" s="91">
        <v>6</v>
      </c>
      <c r="I176" s="86">
        <v>0.3</v>
      </c>
      <c r="J176" s="91">
        <v>3</v>
      </c>
      <c r="K176" s="91">
        <f t="shared" si="10"/>
        <v>20.3</v>
      </c>
    </row>
    <row r="177" spans="1:11" ht="16.5" customHeight="1">
      <c r="A177" s="172">
        <v>174</v>
      </c>
      <c r="B177" s="56" t="s">
        <v>117</v>
      </c>
      <c r="C177" s="21" t="s">
        <v>228</v>
      </c>
      <c r="D177" s="20">
        <v>30</v>
      </c>
      <c r="E177" s="11" t="s">
        <v>229</v>
      </c>
      <c r="F177" s="91">
        <v>25</v>
      </c>
      <c r="G177" s="91">
        <v>20</v>
      </c>
      <c r="H177" s="91">
        <v>8</v>
      </c>
      <c r="I177" s="86">
        <v>0.6</v>
      </c>
      <c r="J177" s="91">
        <v>3</v>
      </c>
      <c r="K177" s="91">
        <f t="shared" si="10"/>
        <v>56.6</v>
      </c>
    </row>
    <row r="178" spans="1:11" ht="16.5" customHeight="1">
      <c r="A178" s="172">
        <v>175</v>
      </c>
      <c r="B178" s="56" t="s">
        <v>206</v>
      </c>
      <c r="C178" s="21" t="s">
        <v>228</v>
      </c>
      <c r="D178" s="20">
        <v>5</v>
      </c>
      <c r="E178" s="11" t="s">
        <v>229</v>
      </c>
      <c r="F178" s="5">
        <v>8</v>
      </c>
      <c r="G178" s="5">
        <v>3</v>
      </c>
      <c r="H178" s="5">
        <v>3</v>
      </c>
      <c r="I178" s="86">
        <v>0.2</v>
      </c>
      <c r="J178" s="5">
        <v>8</v>
      </c>
      <c r="K178" s="5">
        <f t="shared" si="10"/>
        <v>22.2</v>
      </c>
    </row>
    <row r="179" spans="1:11" ht="16.5" customHeight="1">
      <c r="A179" s="172">
        <v>176</v>
      </c>
      <c r="B179" s="19" t="s">
        <v>646</v>
      </c>
      <c r="C179" s="11" t="s">
        <v>340</v>
      </c>
      <c r="D179" s="11"/>
      <c r="E179" s="11" t="s">
        <v>229</v>
      </c>
      <c r="F179" s="5">
        <v>2</v>
      </c>
      <c r="G179" s="5">
        <v>2</v>
      </c>
      <c r="H179" s="5"/>
      <c r="I179" s="5">
        <v>0.1</v>
      </c>
      <c r="J179" s="5">
        <v>0</v>
      </c>
      <c r="K179" s="5">
        <f t="shared" si="10"/>
        <v>4.0999999999999996</v>
      </c>
    </row>
    <row r="180" spans="1:11" ht="16.5" customHeight="1">
      <c r="A180" s="172">
        <v>177</v>
      </c>
      <c r="B180" s="58" t="s">
        <v>246</v>
      </c>
      <c r="C180" s="11" t="s">
        <v>309</v>
      </c>
      <c r="D180" s="11"/>
      <c r="E180" s="11" t="s">
        <v>229</v>
      </c>
      <c r="F180" s="5">
        <v>3</v>
      </c>
      <c r="G180" s="5">
        <v>0.5</v>
      </c>
      <c r="H180" s="5">
        <v>0.2</v>
      </c>
      <c r="I180" s="86">
        <v>0.1</v>
      </c>
      <c r="J180" s="5">
        <v>0</v>
      </c>
      <c r="K180" s="5">
        <f t="shared" si="10"/>
        <v>3.8000000000000003</v>
      </c>
    </row>
    <row r="181" spans="1:11" ht="16.5" customHeight="1">
      <c r="A181" s="172">
        <v>178</v>
      </c>
      <c r="B181" s="56" t="s">
        <v>225</v>
      </c>
      <c r="C181" s="21" t="s">
        <v>228</v>
      </c>
      <c r="D181" s="20">
        <v>3</v>
      </c>
      <c r="E181" s="11" t="s">
        <v>229</v>
      </c>
      <c r="F181" s="5">
        <v>3</v>
      </c>
      <c r="G181" s="5">
        <v>1</v>
      </c>
      <c r="H181" s="5">
        <v>1</v>
      </c>
      <c r="I181" s="86">
        <v>0.2</v>
      </c>
      <c r="J181" s="5">
        <v>10</v>
      </c>
      <c r="K181" s="5">
        <f t="shared" si="10"/>
        <v>15.2</v>
      </c>
    </row>
    <row r="182" spans="1:11" ht="16.5" customHeight="1">
      <c r="A182" s="172">
        <v>179</v>
      </c>
      <c r="B182" s="19" t="s">
        <v>321</v>
      </c>
      <c r="C182" s="11" t="s">
        <v>340</v>
      </c>
      <c r="D182" s="11"/>
      <c r="E182" s="11" t="s">
        <v>229</v>
      </c>
      <c r="F182" s="5">
        <v>3</v>
      </c>
      <c r="G182" s="5">
        <v>4</v>
      </c>
      <c r="H182" s="5"/>
      <c r="I182" s="86">
        <v>0.1</v>
      </c>
      <c r="J182" s="5">
        <v>0</v>
      </c>
      <c r="K182" s="5">
        <f t="shared" si="10"/>
        <v>7.1</v>
      </c>
    </row>
    <row r="183" spans="1:11" ht="16.5" customHeight="1">
      <c r="A183" s="172">
        <v>180</v>
      </c>
      <c r="B183" s="58" t="s">
        <v>251</v>
      </c>
      <c r="C183" s="11" t="s">
        <v>300</v>
      </c>
      <c r="D183" s="11"/>
      <c r="E183" s="11" t="s">
        <v>229</v>
      </c>
      <c r="F183" s="5">
        <v>2</v>
      </c>
      <c r="G183" s="5">
        <v>2</v>
      </c>
      <c r="H183" s="5">
        <v>2</v>
      </c>
      <c r="I183" s="86">
        <v>0.1</v>
      </c>
      <c r="J183" s="5">
        <v>0</v>
      </c>
      <c r="K183" s="5">
        <f t="shared" si="10"/>
        <v>6.1</v>
      </c>
    </row>
    <row r="184" spans="1:11" ht="16.5" customHeight="1">
      <c r="A184" s="172">
        <v>181</v>
      </c>
      <c r="B184" s="56" t="s">
        <v>122</v>
      </c>
      <c r="C184" s="21" t="s">
        <v>228</v>
      </c>
      <c r="D184" s="20">
        <v>30</v>
      </c>
      <c r="E184" s="11" t="s">
        <v>229</v>
      </c>
      <c r="F184" s="91">
        <v>18</v>
      </c>
      <c r="G184" s="91">
        <v>18</v>
      </c>
      <c r="H184" s="91">
        <v>4</v>
      </c>
      <c r="I184" s="131">
        <v>0.6</v>
      </c>
      <c r="J184" s="91">
        <v>2</v>
      </c>
      <c r="K184" s="91">
        <f t="shared" si="10"/>
        <v>42.6</v>
      </c>
    </row>
    <row r="185" spans="1:11" ht="16.5" customHeight="1">
      <c r="A185" s="172">
        <v>182</v>
      </c>
      <c r="B185" s="56" t="s">
        <v>159</v>
      </c>
      <c r="C185" s="21" t="s">
        <v>228</v>
      </c>
      <c r="D185" s="20">
        <v>10</v>
      </c>
      <c r="E185" s="11" t="s">
        <v>229</v>
      </c>
      <c r="F185" s="91">
        <v>4</v>
      </c>
      <c r="G185" s="91">
        <v>8</v>
      </c>
      <c r="H185" s="91">
        <v>3</v>
      </c>
      <c r="I185" s="86">
        <v>0.3</v>
      </c>
      <c r="J185" s="91">
        <v>4</v>
      </c>
      <c r="K185" s="91">
        <f t="shared" si="10"/>
        <v>19.3</v>
      </c>
    </row>
    <row r="186" spans="1:11" ht="16.5" customHeight="1">
      <c r="A186" s="172">
        <v>183</v>
      </c>
      <c r="B186" s="166" t="s">
        <v>812</v>
      </c>
      <c r="C186" s="21" t="s">
        <v>300</v>
      </c>
      <c r="D186" s="20"/>
      <c r="E186" s="168" t="s">
        <v>229</v>
      </c>
      <c r="F186" s="5">
        <v>2</v>
      </c>
      <c r="G186" s="5">
        <v>2</v>
      </c>
      <c r="H186" s="5">
        <v>2</v>
      </c>
      <c r="I186" s="168">
        <v>0.1</v>
      </c>
      <c r="J186" s="5">
        <v>0</v>
      </c>
      <c r="K186" s="5">
        <f t="shared" ref="K186" si="14">SUM(F186:J186)</f>
        <v>6.1</v>
      </c>
    </row>
    <row r="187" spans="1:11" ht="16.5" customHeight="1">
      <c r="A187" s="172">
        <v>184</v>
      </c>
      <c r="B187" s="56" t="s">
        <v>172</v>
      </c>
      <c r="C187" s="21" t="s">
        <v>228</v>
      </c>
      <c r="D187" s="20">
        <v>10</v>
      </c>
      <c r="E187" s="11" t="s">
        <v>229</v>
      </c>
      <c r="F187" s="91">
        <v>12</v>
      </c>
      <c r="G187" s="91">
        <v>8</v>
      </c>
      <c r="H187" s="91">
        <v>5</v>
      </c>
      <c r="I187" s="86">
        <v>0.3</v>
      </c>
      <c r="J187" s="91">
        <v>5</v>
      </c>
      <c r="K187" s="91">
        <f t="shared" si="10"/>
        <v>30.3</v>
      </c>
    </row>
    <row r="188" spans="1:11" ht="16.5" customHeight="1">
      <c r="A188" s="172">
        <v>185</v>
      </c>
      <c r="B188" s="58" t="s">
        <v>239</v>
      </c>
      <c r="C188" s="11" t="s">
        <v>300</v>
      </c>
      <c r="D188" s="11"/>
      <c r="E188" s="11" t="s">
        <v>229</v>
      </c>
      <c r="F188" s="5">
        <v>2</v>
      </c>
      <c r="G188" s="5">
        <v>1</v>
      </c>
      <c r="H188" s="5">
        <v>1</v>
      </c>
      <c r="I188" s="86">
        <v>0.1</v>
      </c>
      <c r="J188" s="5">
        <v>0</v>
      </c>
      <c r="K188" s="5">
        <f t="shared" si="10"/>
        <v>4.0999999999999996</v>
      </c>
    </row>
    <row r="189" spans="1:11" ht="16.5" customHeight="1">
      <c r="A189" s="172">
        <v>186</v>
      </c>
      <c r="B189" s="56" t="s">
        <v>132</v>
      </c>
      <c r="C189" s="21" t="s">
        <v>228</v>
      </c>
      <c r="D189" s="20">
        <v>25</v>
      </c>
      <c r="E189" s="11" t="s">
        <v>229</v>
      </c>
      <c r="F189" s="91">
        <v>19</v>
      </c>
      <c r="G189" s="91">
        <v>12</v>
      </c>
      <c r="H189" s="91">
        <v>4</v>
      </c>
      <c r="I189" s="86">
        <v>0.5</v>
      </c>
      <c r="J189" s="91">
        <v>8</v>
      </c>
      <c r="K189" s="91">
        <f t="shared" si="10"/>
        <v>43.5</v>
      </c>
    </row>
    <row r="190" spans="1:11" ht="16.5" customHeight="1">
      <c r="A190" s="172">
        <v>187</v>
      </c>
      <c r="B190" s="56" t="s">
        <v>633</v>
      </c>
      <c r="C190" s="21" t="s">
        <v>228</v>
      </c>
      <c r="D190" s="20">
        <v>25</v>
      </c>
      <c r="E190" s="11" t="s">
        <v>229</v>
      </c>
      <c r="F190" s="91">
        <v>18</v>
      </c>
      <c r="G190" s="91">
        <v>13</v>
      </c>
      <c r="H190" s="91">
        <v>2</v>
      </c>
      <c r="I190" s="131">
        <v>0.5</v>
      </c>
      <c r="J190" s="91">
        <v>12</v>
      </c>
      <c r="K190" s="91">
        <f t="shared" si="10"/>
        <v>45.5</v>
      </c>
    </row>
    <row r="191" spans="1:11" ht="16.5" customHeight="1">
      <c r="A191" s="172">
        <v>188</v>
      </c>
      <c r="B191" s="57" t="s">
        <v>163</v>
      </c>
      <c r="C191" s="21" t="s">
        <v>228</v>
      </c>
      <c r="D191" s="20">
        <v>10</v>
      </c>
      <c r="E191" s="11" t="s">
        <v>229</v>
      </c>
      <c r="F191" s="91">
        <v>4</v>
      </c>
      <c r="G191" s="91">
        <v>8</v>
      </c>
      <c r="H191" s="91">
        <v>3</v>
      </c>
      <c r="I191" s="86">
        <v>0.3</v>
      </c>
      <c r="J191" s="91">
        <v>8</v>
      </c>
      <c r="K191" s="91">
        <f t="shared" si="10"/>
        <v>23.3</v>
      </c>
    </row>
    <row r="192" spans="1:11" ht="16.5" customHeight="1">
      <c r="A192" s="172">
        <v>189</v>
      </c>
      <c r="B192" s="58" t="s">
        <v>233</v>
      </c>
      <c r="C192" s="11" t="s">
        <v>300</v>
      </c>
      <c r="D192" s="11"/>
      <c r="E192" s="11" t="s">
        <v>229</v>
      </c>
      <c r="F192" s="5">
        <v>4</v>
      </c>
      <c r="G192" s="5">
        <v>1</v>
      </c>
      <c r="H192" s="5">
        <v>3</v>
      </c>
      <c r="I192" s="86">
        <v>0.1</v>
      </c>
      <c r="J192" s="5">
        <v>5</v>
      </c>
      <c r="K192" s="5">
        <f t="shared" si="10"/>
        <v>13.1</v>
      </c>
    </row>
    <row r="193" spans="1:11" ht="16.5" customHeight="1">
      <c r="A193" s="172">
        <v>190</v>
      </c>
      <c r="B193" s="19" t="s">
        <v>337</v>
      </c>
      <c r="C193" s="11" t="s">
        <v>340</v>
      </c>
      <c r="D193" s="11"/>
      <c r="E193" s="11" t="s">
        <v>229</v>
      </c>
      <c r="F193" s="5">
        <v>1</v>
      </c>
      <c r="G193" s="5">
        <v>2</v>
      </c>
      <c r="H193" s="5"/>
      <c r="I193" s="5">
        <v>0.1</v>
      </c>
      <c r="J193" s="5">
        <v>0</v>
      </c>
      <c r="K193" s="5">
        <f t="shared" si="10"/>
        <v>3.1</v>
      </c>
    </row>
    <row r="194" spans="1:11" ht="16.5" customHeight="1">
      <c r="A194" s="172">
        <v>191</v>
      </c>
      <c r="B194" s="58" t="s">
        <v>283</v>
      </c>
      <c r="C194" s="131" t="s">
        <v>309</v>
      </c>
      <c r="D194" s="11"/>
      <c r="E194" s="11" t="s">
        <v>229</v>
      </c>
      <c r="F194" s="5">
        <v>2</v>
      </c>
      <c r="G194" s="5">
        <v>1</v>
      </c>
      <c r="H194" s="5">
        <v>0.5</v>
      </c>
      <c r="I194" s="11">
        <v>0.1</v>
      </c>
      <c r="J194" s="5">
        <v>0</v>
      </c>
      <c r="K194" s="5">
        <f t="shared" si="10"/>
        <v>3.6</v>
      </c>
    </row>
    <row r="195" spans="1:11" ht="16.5" customHeight="1">
      <c r="A195" s="172">
        <v>192</v>
      </c>
      <c r="B195" s="56" t="s">
        <v>136</v>
      </c>
      <c r="C195" s="21" t="s">
        <v>228</v>
      </c>
      <c r="D195" s="20">
        <v>20</v>
      </c>
      <c r="E195" s="11" t="s">
        <v>229</v>
      </c>
      <c r="F195" s="91">
        <v>19</v>
      </c>
      <c r="G195" s="91">
        <v>13</v>
      </c>
      <c r="H195" s="91">
        <v>5</v>
      </c>
      <c r="I195" s="131">
        <v>0.2</v>
      </c>
      <c r="J195" s="91">
        <v>24</v>
      </c>
      <c r="K195" s="91">
        <f t="shared" si="10"/>
        <v>61.2</v>
      </c>
    </row>
    <row r="196" spans="1:11" ht="16.5" customHeight="1">
      <c r="A196" s="172">
        <v>193</v>
      </c>
      <c r="B196" s="58" t="s">
        <v>271</v>
      </c>
      <c r="C196" s="11" t="s">
        <v>309</v>
      </c>
      <c r="D196" s="11"/>
      <c r="E196" s="11" t="s">
        <v>229</v>
      </c>
      <c r="F196" s="5">
        <v>3</v>
      </c>
      <c r="G196" s="5">
        <v>0.3</v>
      </c>
      <c r="H196" s="5">
        <v>0.2</v>
      </c>
      <c r="I196" s="11">
        <v>0.1</v>
      </c>
      <c r="J196" s="5">
        <v>0</v>
      </c>
      <c r="K196" s="5">
        <f t="shared" si="10"/>
        <v>3.6</v>
      </c>
    </row>
    <row r="197" spans="1:11" ht="16.5" customHeight="1">
      <c r="A197" s="172">
        <v>194</v>
      </c>
      <c r="B197" s="58" t="s">
        <v>254</v>
      </c>
      <c r="C197" s="11" t="s">
        <v>300</v>
      </c>
      <c r="D197" s="11"/>
      <c r="E197" s="11" t="s">
        <v>229</v>
      </c>
      <c r="F197" s="5">
        <v>3</v>
      </c>
      <c r="G197" s="5">
        <v>1</v>
      </c>
      <c r="H197" s="5">
        <v>1</v>
      </c>
      <c r="I197" s="11">
        <v>0.1</v>
      </c>
      <c r="J197" s="5">
        <v>0</v>
      </c>
      <c r="K197" s="5">
        <f t="shared" si="10"/>
        <v>5.0999999999999996</v>
      </c>
    </row>
    <row r="198" spans="1:11" ht="16.5" customHeight="1">
      <c r="A198" s="172">
        <v>195</v>
      </c>
      <c r="B198" s="166" t="s">
        <v>791</v>
      </c>
      <c r="C198" s="162" t="s">
        <v>228</v>
      </c>
      <c r="D198" s="162">
        <v>5</v>
      </c>
      <c r="E198" s="162" t="s">
        <v>229</v>
      </c>
      <c r="F198" s="5">
        <v>15</v>
      </c>
      <c r="G198" s="5">
        <v>5</v>
      </c>
      <c r="H198" s="5">
        <v>3</v>
      </c>
      <c r="I198" s="162">
        <v>0.2</v>
      </c>
      <c r="J198" s="5">
        <v>0</v>
      </c>
      <c r="K198" s="5">
        <f t="shared" ref="K198" si="15">SUM(F198:J198)</f>
        <v>23.2</v>
      </c>
    </row>
    <row r="199" spans="1:11" ht="16.5" customHeight="1">
      <c r="A199" s="172">
        <v>196</v>
      </c>
      <c r="B199" s="56" t="s">
        <v>102</v>
      </c>
      <c r="C199" s="21" t="s">
        <v>228</v>
      </c>
      <c r="D199" s="20">
        <v>60</v>
      </c>
      <c r="E199" s="11" t="s">
        <v>229</v>
      </c>
      <c r="F199" s="91">
        <v>32</v>
      </c>
      <c r="G199" s="91">
        <v>29</v>
      </c>
      <c r="H199" s="91">
        <v>8</v>
      </c>
      <c r="I199" s="11">
        <v>0.9</v>
      </c>
      <c r="J199" s="91">
        <v>0</v>
      </c>
      <c r="K199" s="91">
        <f t="shared" si="10"/>
        <v>69.900000000000006</v>
      </c>
    </row>
    <row r="200" spans="1:11" ht="16.5" customHeight="1">
      <c r="A200" s="172">
        <v>197</v>
      </c>
      <c r="B200" s="56" t="s">
        <v>210</v>
      </c>
      <c r="C200" s="21" t="s">
        <v>228</v>
      </c>
      <c r="D200" s="20">
        <v>5</v>
      </c>
      <c r="E200" s="11" t="s">
        <v>229</v>
      </c>
      <c r="F200" s="5">
        <v>15</v>
      </c>
      <c r="G200" s="5">
        <v>5</v>
      </c>
      <c r="H200" s="5">
        <v>3</v>
      </c>
      <c r="I200" s="11">
        <v>0.3</v>
      </c>
      <c r="J200" s="5">
        <v>0</v>
      </c>
      <c r="K200" s="5">
        <f t="shared" si="10"/>
        <v>23.3</v>
      </c>
    </row>
    <row r="201" spans="1:11" ht="16.5" customHeight="1">
      <c r="A201" s="172">
        <v>198</v>
      </c>
      <c r="B201" s="59" t="s">
        <v>287</v>
      </c>
      <c r="C201" s="11" t="s">
        <v>300</v>
      </c>
      <c r="D201" s="11"/>
      <c r="E201" s="11" t="s">
        <v>229</v>
      </c>
      <c r="F201" s="5">
        <v>3</v>
      </c>
      <c r="G201" s="5">
        <v>1</v>
      </c>
      <c r="H201" s="5">
        <v>1</v>
      </c>
      <c r="I201" s="11">
        <v>0.1</v>
      </c>
      <c r="J201" s="5">
        <v>0</v>
      </c>
      <c r="K201" s="5">
        <f t="shared" si="10"/>
        <v>5.0999999999999996</v>
      </c>
    </row>
    <row r="202" spans="1:11" ht="16.5" customHeight="1">
      <c r="A202" s="172">
        <v>199</v>
      </c>
      <c r="B202" s="19" t="s">
        <v>320</v>
      </c>
      <c r="C202" s="11" t="s">
        <v>340</v>
      </c>
      <c r="D202" s="11"/>
      <c r="E202" s="11" t="s">
        <v>229</v>
      </c>
      <c r="F202" s="5">
        <v>4</v>
      </c>
      <c r="G202" s="5">
        <v>2</v>
      </c>
      <c r="H202" s="5"/>
      <c r="I202" s="11">
        <v>0.1</v>
      </c>
      <c r="J202" s="5">
        <v>0</v>
      </c>
      <c r="K202" s="5">
        <f t="shared" si="10"/>
        <v>6.1</v>
      </c>
    </row>
    <row r="203" spans="1:11" ht="16.5" customHeight="1">
      <c r="A203" s="172">
        <v>200</v>
      </c>
      <c r="B203" s="58" t="s">
        <v>270</v>
      </c>
      <c r="C203" s="11" t="s">
        <v>300</v>
      </c>
      <c r="D203" s="11"/>
      <c r="E203" s="11" t="s">
        <v>229</v>
      </c>
      <c r="F203" s="5">
        <v>2</v>
      </c>
      <c r="G203" s="5">
        <v>2</v>
      </c>
      <c r="H203" s="5">
        <v>2</v>
      </c>
      <c r="I203" s="11">
        <v>0.1</v>
      </c>
      <c r="J203" s="5">
        <v>0</v>
      </c>
      <c r="K203" s="5">
        <f t="shared" si="10"/>
        <v>6.1</v>
      </c>
    </row>
    <row r="204" spans="1:11" ht="16.5" customHeight="1">
      <c r="A204" s="172">
        <v>201</v>
      </c>
      <c r="B204" s="92" t="s">
        <v>644</v>
      </c>
      <c r="C204" s="21" t="s">
        <v>228</v>
      </c>
      <c r="D204" s="20">
        <v>30</v>
      </c>
      <c r="E204" s="11" t="s">
        <v>229</v>
      </c>
      <c r="F204" s="91">
        <v>34</v>
      </c>
      <c r="G204" s="91">
        <v>19</v>
      </c>
      <c r="H204" s="91">
        <v>4</v>
      </c>
      <c r="I204" s="131">
        <v>0.6</v>
      </c>
      <c r="J204" s="91">
        <v>6</v>
      </c>
      <c r="K204" s="91">
        <f t="shared" si="10"/>
        <v>63.6</v>
      </c>
    </row>
    <row r="205" spans="1:11" ht="16.5" customHeight="1">
      <c r="A205" s="172">
        <v>202</v>
      </c>
      <c r="B205" s="92" t="s">
        <v>202</v>
      </c>
      <c r="C205" s="21" t="s">
        <v>228</v>
      </c>
      <c r="D205" s="46">
        <v>6</v>
      </c>
      <c r="E205" s="11" t="s">
        <v>229</v>
      </c>
      <c r="F205" s="5">
        <v>10</v>
      </c>
      <c r="G205" s="5">
        <v>4</v>
      </c>
      <c r="H205" s="5">
        <v>4</v>
      </c>
      <c r="I205" s="11">
        <v>0.2</v>
      </c>
      <c r="J205" s="5">
        <v>0</v>
      </c>
      <c r="K205" s="5">
        <f t="shared" si="10"/>
        <v>18.2</v>
      </c>
    </row>
    <row r="206" spans="1:11" ht="16.5" customHeight="1">
      <c r="A206" s="172">
        <v>203</v>
      </c>
      <c r="B206" s="44" t="s">
        <v>194</v>
      </c>
      <c r="C206" s="21" t="s">
        <v>228</v>
      </c>
      <c r="D206" s="20">
        <v>6</v>
      </c>
      <c r="E206" s="11" t="s">
        <v>229</v>
      </c>
      <c r="F206" s="91">
        <v>9</v>
      </c>
      <c r="G206" s="91">
        <v>4</v>
      </c>
      <c r="H206" s="91">
        <v>4</v>
      </c>
      <c r="I206" s="11">
        <v>0.2</v>
      </c>
      <c r="J206" s="91">
        <v>0</v>
      </c>
      <c r="K206" s="91">
        <f t="shared" si="10"/>
        <v>17.2</v>
      </c>
    </row>
    <row r="207" spans="1:11" ht="16.5" customHeight="1">
      <c r="A207" s="172">
        <v>204</v>
      </c>
      <c r="B207" s="58" t="s">
        <v>262</v>
      </c>
      <c r="C207" s="11" t="s">
        <v>309</v>
      </c>
      <c r="D207" s="11"/>
      <c r="E207" s="11" t="s">
        <v>229</v>
      </c>
      <c r="F207" s="5">
        <v>2</v>
      </c>
      <c r="G207" s="5">
        <v>0.5</v>
      </c>
      <c r="H207" s="5">
        <v>0.3</v>
      </c>
      <c r="I207" s="11">
        <v>0.1</v>
      </c>
      <c r="J207" s="5">
        <v>0</v>
      </c>
      <c r="K207" s="5">
        <f t="shared" si="10"/>
        <v>2.9</v>
      </c>
    </row>
    <row r="208" spans="1:11" ht="16.5" customHeight="1">
      <c r="A208" s="172">
        <v>205</v>
      </c>
      <c r="B208" s="56" t="s">
        <v>227</v>
      </c>
      <c r="C208" s="21" t="s">
        <v>228</v>
      </c>
      <c r="D208" s="20">
        <v>3</v>
      </c>
      <c r="E208" s="11" t="s">
        <v>229</v>
      </c>
      <c r="F208" s="5">
        <v>4</v>
      </c>
      <c r="G208" s="5">
        <v>2</v>
      </c>
      <c r="H208" s="5">
        <v>2</v>
      </c>
      <c r="I208" s="11">
        <v>0.2</v>
      </c>
      <c r="J208" s="5">
        <v>5</v>
      </c>
      <c r="K208" s="5">
        <f t="shared" si="10"/>
        <v>13.2</v>
      </c>
    </row>
    <row r="209" spans="1:11" ht="16.5" customHeight="1">
      <c r="A209" s="172">
        <v>206</v>
      </c>
      <c r="B209" s="56" t="s">
        <v>147</v>
      </c>
      <c r="C209" s="21" t="s">
        <v>228</v>
      </c>
      <c r="D209" s="20">
        <v>18</v>
      </c>
      <c r="E209" s="11" t="s">
        <v>229</v>
      </c>
      <c r="F209" s="91">
        <v>15</v>
      </c>
      <c r="G209" s="91">
        <v>16</v>
      </c>
      <c r="H209" s="91">
        <v>9</v>
      </c>
      <c r="I209" s="11">
        <v>0.4</v>
      </c>
      <c r="J209" s="91">
        <v>3</v>
      </c>
      <c r="K209" s="91">
        <f t="shared" si="10"/>
        <v>43.4</v>
      </c>
    </row>
    <row r="210" spans="1:11" ht="16.5" customHeight="1">
      <c r="A210" s="172">
        <v>207</v>
      </c>
      <c r="B210" s="45" t="s">
        <v>175</v>
      </c>
      <c r="C210" s="21" t="s">
        <v>228</v>
      </c>
      <c r="D210" s="20">
        <v>10</v>
      </c>
      <c r="E210" s="11" t="s">
        <v>229</v>
      </c>
      <c r="F210" s="91">
        <v>8</v>
      </c>
      <c r="G210" s="91">
        <v>7</v>
      </c>
      <c r="H210" s="91">
        <v>5</v>
      </c>
      <c r="I210" s="11">
        <v>0.3</v>
      </c>
      <c r="J210" s="91">
        <v>0</v>
      </c>
      <c r="K210" s="91">
        <f t="shared" ref="K210:K275" si="16">SUM(F210:J210)</f>
        <v>20.3</v>
      </c>
    </row>
    <row r="211" spans="1:11" ht="16.5" customHeight="1">
      <c r="A211" s="172">
        <v>208</v>
      </c>
      <c r="B211" s="92" t="s">
        <v>176</v>
      </c>
      <c r="C211" s="21" t="s">
        <v>228</v>
      </c>
      <c r="D211" s="20">
        <v>10</v>
      </c>
      <c r="E211" s="11" t="s">
        <v>229</v>
      </c>
      <c r="F211" s="91">
        <v>5</v>
      </c>
      <c r="G211" s="91">
        <v>6</v>
      </c>
      <c r="H211" s="91">
        <v>4</v>
      </c>
      <c r="I211" s="11">
        <v>0.3</v>
      </c>
      <c r="J211" s="91">
        <v>0</v>
      </c>
      <c r="K211" s="91">
        <f t="shared" si="16"/>
        <v>15.3</v>
      </c>
    </row>
    <row r="212" spans="1:11" ht="16.5" customHeight="1">
      <c r="A212" s="172">
        <v>209</v>
      </c>
      <c r="B212" s="56" t="s">
        <v>165</v>
      </c>
      <c r="C212" s="21" t="s">
        <v>228</v>
      </c>
      <c r="D212" s="20">
        <v>10</v>
      </c>
      <c r="E212" s="11" t="s">
        <v>229</v>
      </c>
      <c r="F212" s="91">
        <v>5</v>
      </c>
      <c r="G212" s="91">
        <v>8</v>
      </c>
      <c r="H212" s="91">
        <v>3</v>
      </c>
      <c r="I212" s="11">
        <v>0.2</v>
      </c>
      <c r="J212" s="91">
        <v>8</v>
      </c>
      <c r="K212" s="91">
        <f t="shared" si="16"/>
        <v>24.2</v>
      </c>
    </row>
    <row r="213" spans="1:11" ht="16.5" customHeight="1">
      <c r="A213" s="172">
        <v>210</v>
      </c>
      <c r="B213" s="56" t="s">
        <v>184</v>
      </c>
      <c r="C213" s="21" t="s">
        <v>228</v>
      </c>
      <c r="D213" s="20">
        <v>8</v>
      </c>
      <c r="E213" s="11" t="s">
        <v>229</v>
      </c>
      <c r="F213" s="91">
        <v>5</v>
      </c>
      <c r="G213" s="91">
        <v>7</v>
      </c>
      <c r="H213" s="91">
        <v>3</v>
      </c>
      <c r="I213" s="11">
        <v>0.2</v>
      </c>
      <c r="J213" s="91">
        <v>5</v>
      </c>
      <c r="K213" s="91">
        <f t="shared" si="16"/>
        <v>20.2</v>
      </c>
    </row>
    <row r="214" spans="1:11" ht="16.5" customHeight="1">
      <c r="A214" s="172">
        <v>211</v>
      </c>
      <c r="B214" s="19" t="s">
        <v>338</v>
      </c>
      <c r="C214" s="11" t="s">
        <v>340</v>
      </c>
      <c r="D214" s="11"/>
      <c r="E214" s="11" t="s">
        <v>229</v>
      </c>
      <c r="F214" s="5">
        <v>1</v>
      </c>
      <c r="G214" s="5">
        <v>2</v>
      </c>
      <c r="H214" s="5"/>
      <c r="I214" s="5">
        <v>0.1</v>
      </c>
      <c r="J214" s="5">
        <v>0</v>
      </c>
      <c r="K214" s="5">
        <f t="shared" si="16"/>
        <v>3.1</v>
      </c>
    </row>
    <row r="215" spans="1:11" ht="16.5" customHeight="1">
      <c r="A215" s="172">
        <v>212</v>
      </c>
      <c r="B215" s="44" t="s">
        <v>148</v>
      </c>
      <c r="C215" s="21" t="s">
        <v>228</v>
      </c>
      <c r="D215" s="20">
        <v>15</v>
      </c>
      <c r="E215" s="11" t="s">
        <v>229</v>
      </c>
      <c r="F215" s="91">
        <v>13</v>
      </c>
      <c r="G215" s="91">
        <v>9</v>
      </c>
      <c r="H215" s="91">
        <v>3</v>
      </c>
      <c r="I215" s="11">
        <v>0.4</v>
      </c>
      <c r="J215" s="91">
        <v>5</v>
      </c>
      <c r="K215" s="91">
        <f t="shared" si="16"/>
        <v>30.4</v>
      </c>
    </row>
    <row r="216" spans="1:11" ht="16.5" customHeight="1">
      <c r="A216" s="172">
        <v>213</v>
      </c>
      <c r="B216" s="19" t="s">
        <v>329</v>
      </c>
      <c r="C216" s="11" t="s">
        <v>340</v>
      </c>
      <c r="D216" s="11"/>
      <c r="E216" s="11" t="s">
        <v>229</v>
      </c>
      <c r="F216" s="5">
        <v>3</v>
      </c>
      <c r="G216" s="5">
        <v>4</v>
      </c>
      <c r="H216" s="5"/>
      <c r="I216" s="11">
        <v>0.1</v>
      </c>
      <c r="J216" s="5">
        <v>0</v>
      </c>
      <c r="K216" s="5">
        <f t="shared" si="16"/>
        <v>7.1</v>
      </c>
    </row>
    <row r="217" spans="1:11" ht="16.5" customHeight="1">
      <c r="A217" s="172">
        <v>214</v>
      </c>
      <c r="B217" s="59" t="s">
        <v>286</v>
      </c>
      <c r="C217" s="11" t="s">
        <v>300</v>
      </c>
      <c r="D217" s="11"/>
      <c r="E217" s="11" t="s">
        <v>229</v>
      </c>
      <c r="F217" s="5">
        <v>4</v>
      </c>
      <c r="G217" s="5">
        <v>1</v>
      </c>
      <c r="H217" s="5">
        <v>1</v>
      </c>
      <c r="I217" s="11">
        <v>0.1</v>
      </c>
      <c r="J217" s="5">
        <v>0</v>
      </c>
      <c r="K217" s="5">
        <f t="shared" si="16"/>
        <v>6.1</v>
      </c>
    </row>
    <row r="218" spans="1:11" ht="16.5" customHeight="1">
      <c r="A218" s="172">
        <v>215</v>
      </c>
      <c r="B218" s="59" t="s">
        <v>292</v>
      </c>
      <c r="C218" s="11" t="s">
        <v>300</v>
      </c>
      <c r="D218" s="11"/>
      <c r="E218" s="11" t="s">
        <v>229</v>
      </c>
      <c r="F218" s="5">
        <v>3</v>
      </c>
      <c r="G218" s="5">
        <v>1</v>
      </c>
      <c r="H218" s="5">
        <v>1</v>
      </c>
      <c r="I218" s="11">
        <v>0.1</v>
      </c>
      <c r="J218" s="5">
        <v>0</v>
      </c>
      <c r="K218" s="5">
        <f t="shared" si="16"/>
        <v>5.0999999999999996</v>
      </c>
    </row>
    <row r="219" spans="1:11" ht="16.5" customHeight="1">
      <c r="A219" s="172">
        <v>216</v>
      </c>
      <c r="B219" s="56" t="s">
        <v>197</v>
      </c>
      <c r="C219" s="21" t="s">
        <v>228</v>
      </c>
      <c r="D219" s="20">
        <v>6</v>
      </c>
      <c r="E219" s="11" t="s">
        <v>229</v>
      </c>
      <c r="F219" s="5">
        <v>15</v>
      </c>
      <c r="G219" s="5">
        <v>5</v>
      </c>
      <c r="H219" s="5">
        <v>3</v>
      </c>
      <c r="I219" s="11">
        <v>0.2</v>
      </c>
      <c r="J219" s="5">
        <v>3</v>
      </c>
      <c r="K219" s="5">
        <f t="shared" si="16"/>
        <v>26.2</v>
      </c>
    </row>
    <row r="220" spans="1:11" ht="16.5" customHeight="1">
      <c r="A220" s="172">
        <v>217</v>
      </c>
      <c r="B220" s="56" t="s">
        <v>180</v>
      </c>
      <c r="C220" s="21" t="s">
        <v>228</v>
      </c>
      <c r="D220" s="20">
        <v>9</v>
      </c>
      <c r="E220" s="11" t="s">
        <v>229</v>
      </c>
      <c r="F220" s="91">
        <v>12</v>
      </c>
      <c r="G220" s="91">
        <v>7</v>
      </c>
      <c r="H220" s="91">
        <v>3</v>
      </c>
      <c r="I220" s="11">
        <v>0.2</v>
      </c>
      <c r="J220" s="91">
        <v>5</v>
      </c>
      <c r="K220" s="91">
        <f t="shared" si="16"/>
        <v>27.2</v>
      </c>
    </row>
    <row r="221" spans="1:11" ht="16.5" customHeight="1">
      <c r="A221" s="172">
        <v>218</v>
      </c>
      <c r="B221" s="44" t="s">
        <v>179</v>
      </c>
      <c r="C221" s="21" t="s">
        <v>228</v>
      </c>
      <c r="D221" s="20">
        <v>9</v>
      </c>
      <c r="E221" s="11" t="s">
        <v>229</v>
      </c>
      <c r="F221" s="91">
        <v>15</v>
      </c>
      <c r="G221" s="91">
        <v>10</v>
      </c>
      <c r="H221" s="91">
        <v>2</v>
      </c>
      <c r="I221" s="11">
        <v>0.2</v>
      </c>
      <c r="J221" s="91">
        <v>5</v>
      </c>
      <c r="K221" s="91">
        <f t="shared" si="16"/>
        <v>32.200000000000003</v>
      </c>
    </row>
    <row r="222" spans="1:11" ht="16.5" customHeight="1">
      <c r="A222" s="172">
        <v>219</v>
      </c>
      <c r="B222" s="58" t="s">
        <v>255</v>
      </c>
      <c r="C222" s="11" t="s">
        <v>300</v>
      </c>
      <c r="D222" s="11"/>
      <c r="E222" s="11" t="s">
        <v>229</v>
      </c>
      <c r="F222" s="5">
        <v>3</v>
      </c>
      <c r="G222" s="5">
        <v>2</v>
      </c>
      <c r="H222" s="5">
        <v>2</v>
      </c>
      <c r="I222" s="11">
        <v>0.1</v>
      </c>
      <c r="J222" s="5">
        <v>0</v>
      </c>
      <c r="K222" s="5">
        <f t="shared" si="16"/>
        <v>7.1</v>
      </c>
    </row>
    <row r="223" spans="1:11" ht="16.5" customHeight="1">
      <c r="A223" s="172">
        <v>220</v>
      </c>
      <c r="B223" s="59" t="s">
        <v>291</v>
      </c>
      <c r="C223" s="11" t="s">
        <v>309</v>
      </c>
      <c r="D223" s="11"/>
      <c r="E223" s="11" t="s">
        <v>229</v>
      </c>
      <c r="F223" s="5">
        <v>2</v>
      </c>
      <c r="G223" s="5">
        <v>0.5</v>
      </c>
      <c r="H223" s="5">
        <v>0.5</v>
      </c>
      <c r="I223" s="11">
        <v>0.1</v>
      </c>
      <c r="J223" s="5">
        <v>0</v>
      </c>
      <c r="K223" s="5">
        <f t="shared" si="16"/>
        <v>3.1</v>
      </c>
    </row>
    <row r="224" spans="1:11" ht="16.5" customHeight="1">
      <c r="A224" s="172">
        <v>221</v>
      </c>
      <c r="B224" s="58" t="s">
        <v>256</v>
      </c>
      <c r="C224" s="11" t="s">
        <v>300</v>
      </c>
      <c r="D224" s="11"/>
      <c r="E224" s="11" t="s">
        <v>229</v>
      </c>
      <c r="F224" s="5">
        <v>2</v>
      </c>
      <c r="G224" s="5">
        <v>1</v>
      </c>
      <c r="H224" s="5">
        <v>1</v>
      </c>
      <c r="I224" s="11">
        <v>0.1</v>
      </c>
      <c r="J224" s="5">
        <v>10</v>
      </c>
      <c r="K224" s="5">
        <f t="shared" si="16"/>
        <v>14.1</v>
      </c>
    </row>
    <row r="225" spans="1:11" ht="16.5" customHeight="1">
      <c r="A225" s="172">
        <v>222</v>
      </c>
      <c r="B225" s="56" t="s">
        <v>193</v>
      </c>
      <c r="C225" s="21" t="s">
        <v>228</v>
      </c>
      <c r="D225" s="20">
        <v>6</v>
      </c>
      <c r="E225" s="11" t="s">
        <v>229</v>
      </c>
      <c r="F225" s="91">
        <v>6</v>
      </c>
      <c r="G225" s="91">
        <v>5</v>
      </c>
      <c r="H225" s="91">
        <v>3</v>
      </c>
      <c r="I225" s="11">
        <v>0.2</v>
      </c>
      <c r="J225" s="91">
        <v>3</v>
      </c>
      <c r="K225" s="91">
        <f t="shared" si="16"/>
        <v>17.2</v>
      </c>
    </row>
    <row r="226" spans="1:11" ht="16.5" customHeight="1">
      <c r="A226" s="172">
        <v>223</v>
      </c>
      <c r="B226" s="58" t="s">
        <v>272</v>
      </c>
      <c r="C226" s="11" t="s">
        <v>309</v>
      </c>
      <c r="D226" s="11"/>
      <c r="E226" s="11" t="s">
        <v>229</v>
      </c>
      <c r="F226" s="5">
        <v>2</v>
      </c>
      <c r="G226" s="5">
        <v>0.02</v>
      </c>
      <c r="H226" s="5">
        <v>1</v>
      </c>
      <c r="I226" s="11">
        <v>0.1</v>
      </c>
      <c r="J226" s="5">
        <v>0</v>
      </c>
      <c r="K226" s="5">
        <f t="shared" si="16"/>
        <v>3.12</v>
      </c>
    </row>
    <row r="227" spans="1:11" ht="16.5" customHeight="1">
      <c r="A227" s="172">
        <v>224</v>
      </c>
      <c r="B227" s="56" t="s">
        <v>174</v>
      </c>
      <c r="C227" s="21" t="s">
        <v>228</v>
      </c>
      <c r="D227" s="20">
        <v>10</v>
      </c>
      <c r="E227" s="11" t="s">
        <v>229</v>
      </c>
      <c r="F227" s="91">
        <v>15</v>
      </c>
      <c r="G227" s="91">
        <v>6</v>
      </c>
      <c r="H227" s="91">
        <v>5</v>
      </c>
      <c r="I227" s="11">
        <v>0.3</v>
      </c>
      <c r="J227" s="91">
        <v>5</v>
      </c>
      <c r="K227" s="91">
        <f t="shared" si="16"/>
        <v>31.3</v>
      </c>
    </row>
    <row r="228" spans="1:11" ht="16.5" customHeight="1">
      <c r="A228" s="172">
        <v>225</v>
      </c>
      <c r="B228" s="58" t="s">
        <v>37</v>
      </c>
      <c r="C228" s="11" t="s">
        <v>300</v>
      </c>
      <c r="D228" s="11"/>
      <c r="E228" s="11" t="s">
        <v>229</v>
      </c>
      <c r="F228" s="5">
        <v>3</v>
      </c>
      <c r="G228" s="5">
        <v>1</v>
      </c>
      <c r="H228" s="5">
        <v>1</v>
      </c>
      <c r="I228" s="11">
        <v>0.1</v>
      </c>
      <c r="J228" s="5">
        <v>5</v>
      </c>
      <c r="K228" s="5">
        <f t="shared" si="16"/>
        <v>10.1</v>
      </c>
    </row>
    <row r="229" spans="1:11" ht="16.5" customHeight="1">
      <c r="A229" s="172">
        <v>226</v>
      </c>
      <c r="B229" s="59" t="s">
        <v>295</v>
      </c>
      <c r="C229" s="11" t="s">
        <v>300</v>
      </c>
      <c r="D229" s="11"/>
      <c r="E229" s="11" t="s">
        <v>229</v>
      </c>
      <c r="F229" s="5">
        <v>4</v>
      </c>
      <c r="G229" s="5">
        <v>1</v>
      </c>
      <c r="H229" s="5">
        <v>1</v>
      </c>
      <c r="I229" s="11">
        <v>0.1</v>
      </c>
      <c r="J229" s="5">
        <v>0</v>
      </c>
      <c r="K229" s="5">
        <f t="shared" si="16"/>
        <v>6.1</v>
      </c>
    </row>
    <row r="230" spans="1:11" ht="16.5" customHeight="1">
      <c r="A230" s="172">
        <v>227</v>
      </c>
      <c r="B230" s="58" t="s">
        <v>263</v>
      </c>
      <c r="C230" s="11" t="s">
        <v>309</v>
      </c>
      <c r="D230" s="11"/>
      <c r="E230" s="11" t="s">
        <v>229</v>
      </c>
      <c r="F230" s="5">
        <v>2</v>
      </c>
      <c r="G230" s="5">
        <v>0.05</v>
      </c>
      <c r="H230" s="5">
        <v>0.3</v>
      </c>
      <c r="I230" s="11">
        <v>0.1</v>
      </c>
      <c r="J230" s="5">
        <v>0</v>
      </c>
      <c r="K230" s="5">
        <f t="shared" si="16"/>
        <v>2.4499999999999997</v>
      </c>
    </row>
    <row r="231" spans="1:11" ht="16.5" customHeight="1">
      <c r="A231" s="172">
        <v>228</v>
      </c>
      <c r="B231" s="58" t="s">
        <v>268</v>
      </c>
      <c r="C231" s="11" t="s">
        <v>309</v>
      </c>
      <c r="D231" s="11"/>
      <c r="E231" s="11" t="s">
        <v>229</v>
      </c>
      <c r="F231" s="5">
        <v>2</v>
      </c>
      <c r="G231" s="5">
        <v>0.02</v>
      </c>
      <c r="H231" s="5">
        <v>0.1</v>
      </c>
      <c r="I231" s="11">
        <v>0.1</v>
      </c>
      <c r="J231" s="5">
        <v>0</v>
      </c>
      <c r="K231" s="5">
        <f t="shared" si="16"/>
        <v>2.2200000000000002</v>
      </c>
    </row>
    <row r="232" spans="1:11" ht="16.5" customHeight="1">
      <c r="A232" s="172">
        <v>229</v>
      </c>
      <c r="B232" s="58" t="s">
        <v>302</v>
      </c>
      <c r="C232" s="11" t="s">
        <v>309</v>
      </c>
      <c r="D232" s="11"/>
      <c r="E232" s="11" t="s">
        <v>229</v>
      </c>
      <c r="F232" s="5">
        <v>2</v>
      </c>
      <c r="G232" s="5">
        <v>1</v>
      </c>
      <c r="H232" s="5">
        <v>1</v>
      </c>
      <c r="I232" s="11">
        <v>0.1</v>
      </c>
      <c r="J232" s="5">
        <v>0</v>
      </c>
      <c r="K232" s="5">
        <f t="shared" si="16"/>
        <v>4.0999999999999996</v>
      </c>
    </row>
    <row r="233" spans="1:11" ht="16.5" customHeight="1">
      <c r="A233" s="172">
        <v>230</v>
      </c>
      <c r="B233" s="58" t="s">
        <v>275</v>
      </c>
      <c r="C233" s="11" t="s">
        <v>309</v>
      </c>
      <c r="D233" s="11"/>
      <c r="E233" s="11" t="s">
        <v>229</v>
      </c>
      <c r="F233" s="5">
        <v>1</v>
      </c>
      <c r="G233" s="5">
        <v>0.5</v>
      </c>
      <c r="H233" s="5">
        <v>0.5</v>
      </c>
      <c r="I233" s="173">
        <v>0</v>
      </c>
      <c r="J233" s="5">
        <v>0</v>
      </c>
      <c r="K233" s="5">
        <f t="shared" si="16"/>
        <v>2</v>
      </c>
    </row>
    <row r="234" spans="1:11" ht="16.5" customHeight="1">
      <c r="A234" s="172">
        <v>231</v>
      </c>
      <c r="B234" s="19" t="s">
        <v>645</v>
      </c>
      <c r="C234" s="21" t="s">
        <v>228</v>
      </c>
      <c r="D234" s="46">
        <v>5</v>
      </c>
      <c r="E234" s="11" t="s">
        <v>229</v>
      </c>
      <c r="F234" s="5">
        <v>8</v>
      </c>
      <c r="G234" s="5">
        <v>2</v>
      </c>
      <c r="H234" s="5">
        <v>1</v>
      </c>
      <c r="I234" s="11">
        <v>0.1</v>
      </c>
      <c r="J234" s="5">
        <v>13</v>
      </c>
      <c r="K234" s="5">
        <f t="shared" si="16"/>
        <v>24.1</v>
      </c>
    </row>
    <row r="235" spans="1:11" ht="16.5" customHeight="1">
      <c r="A235" s="172">
        <v>232</v>
      </c>
      <c r="B235" s="166" t="s">
        <v>788</v>
      </c>
      <c r="C235" s="21" t="s">
        <v>300</v>
      </c>
      <c r="D235" s="46"/>
      <c r="E235" s="162" t="s">
        <v>229</v>
      </c>
      <c r="F235" s="5">
        <v>2</v>
      </c>
      <c r="G235" s="5">
        <v>1</v>
      </c>
      <c r="H235" s="5">
        <v>1</v>
      </c>
      <c r="I235" s="162">
        <v>0.05</v>
      </c>
      <c r="J235" s="5">
        <v>0</v>
      </c>
      <c r="K235" s="5">
        <f t="shared" ref="K235" si="17">SUM(F235:J235)</f>
        <v>4.05</v>
      </c>
    </row>
    <row r="236" spans="1:11" ht="16.5" customHeight="1">
      <c r="A236" s="172">
        <v>233</v>
      </c>
      <c r="B236" s="44" t="s">
        <v>223</v>
      </c>
      <c r="C236" s="21" t="s">
        <v>228</v>
      </c>
      <c r="D236" s="20">
        <v>3</v>
      </c>
      <c r="E236" s="11" t="s">
        <v>229</v>
      </c>
      <c r="F236" s="5">
        <v>10</v>
      </c>
      <c r="G236" s="5">
        <v>2</v>
      </c>
      <c r="H236" s="5">
        <v>1</v>
      </c>
      <c r="I236" s="11">
        <v>0.1</v>
      </c>
      <c r="J236" s="5">
        <v>5</v>
      </c>
      <c r="K236" s="5">
        <f t="shared" si="16"/>
        <v>18.100000000000001</v>
      </c>
    </row>
    <row r="237" spans="1:11" ht="16.5" customHeight="1">
      <c r="A237" s="172">
        <v>234</v>
      </c>
      <c r="B237" s="19" t="s">
        <v>328</v>
      </c>
      <c r="C237" s="11" t="s">
        <v>340</v>
      </c>
      <c r="D237" s="11"/>
      <c r="E237" s="11" t="s">
        <v>229</v>
      </c>
      <c r="F237" s="5">
        <v>2</v>
      </c>
      <c r="G237" s="5">
        <v>2</v>
      </c>
      <c r="H237" s="5"/>
      <c r="I237" s="11">
        <v>0.01</v>
      </c>
      <c r="J237" s="5">
        <v>0</v>
      </c>
      <c r="K237" s="5">
        <f t="shared" si="16"/>
        <v>4.01</v>
      </c>
    </row>
    <row r="238" spans="1:11" ht="16.5" customHeight="1">
      <c r="A238" s="172">
        <v>235</v>
      </c>
      <c r="B238" s="58" t="s">
        <v>244</v>
      </c>
      <c r="C238" s="11" t="s">
        <v>300</v>
      </c>
      <c r="D238" s="11"/>
      <c r="E238" s="11" t="s">
        <v>229</v>
      </c>
      <c r="F238" s="5">
        <v>3</v>
      </c>
      <c r="G238" s="5">
        <v>2</v>
      </c>
      <c r="H238" s="5">
        <v>2</v>
      </c>
      <c r="I238" s="11">
        <v>0</v>
      </c>
      <c r="J238" s="5">
        <v>0</v>
      </c>
      <c r="K238" s="5">
        <f t="shared" si="16"/>
        <v>7</v>
      </c>
    </row>
    <row r="239" spans="1:11" ht="16.5" customHeight="1">
      <c r="A239" s="172">
        <v>236</v>
      </c>
      <c r="B239" s="44" t="s">
        <v>203</v>
      </c>
      <c r="C239" s="21" t="s">
        <v>228</v>
      </c>
      <c r="D239" s="20">
        <v>5</v>
      </c>
      <c r="E239" s="11" t="s">
        <v>229</v>
      </c>
      <c r="F239" s="5">
        <v>5</v>
      </c>
      <c r="G239" s="5">
        <v>4</v>
      </c>
      <c r="H239" s="5">
        <v>2</v>
      </c>
      <c r="I239" s="11">
        <v>0.2</v>
      </c>
      <c r="J239" s="5">
        <v>8</v>
      </c>
      <c r="K239" s="5">
        <f t="shared" si="16"/>
        <v>19.2</v>
      </c>
    </row>
    <row r="240" spans="1:11" ht="16.5" customHeight="1">
      <c r="A240" s="172">
        <v>237</v>
      </c>
      <c r="B240" s="58" t="s">
        <v>249</v>
      </c>
      <c r="C240" s="11" t="s">
        <v>300</v>
      </c>
      <c r="D240" s="11"/>
      <c r="E240" s="11" t="s">
        <v>229</v>
      </c>
      <c r="F240" s="5">
        <v>4</v>
      </c>
      <c r="G240" s="5">
        <v>2</v>
      </c>
      <c r="H240" s="5">
        <v>2</v>
      </c>
      <c r="I240" s="11">
        <v>0</v>
      </c>
      <c r="J240" s="5">
        <v>0</v>
      </c>
      <c r="K240" s="5">
        <f t="shared" si="16"/>
        <v>8</v>
      </c>
    </row>
    <row r="241" spans="1:11" ht="16.5" customHeight="1">
      <c r="A241" s="172">
        <v>238</v>
      </c>
      <c r="B241" s="56" t="s">
        <v>209</v>
      </c>
      <c r="C241" s="21" t="s">
        <v>228</v>
      </c>
      <c r="D241" s="20">
        <v>5</v>
      </c>
      <c r="E241" s="11" t="s">
        <v>229</v>
      </c>
      <c r="F241" s="5">
        <v>10</v>
      </c>
      <c r="G241" s="5">
        <v>5</v>
      </c>
      <c r="H241" s="5">
        <v>3</v>
      </c>
      <c r="I241" s="11">
        <v>0.2</v>
      </c>
      <c r="J241" s="5">
        <v>5</v>
      </c>
      <c r="K241" s="5">
        <f t="shared" si="16"/>
        <v>23.2</v>
      </c>
    </row>
    <row r="242" spans="1:11" ht="16.5" customHeight="1">
      <c r="A242" s="172">
        <v>239</v>
      </c>
      <c r="B242" s="56" t="s">
        <v>634</v>
      </c>
      <c r="C242" s="21" t="s">
        <v>228</v>
      </c>
      <c r="D242" s="20">
        <v>12</v>
      </c>
      <c r="E242" s="11" t="s">
        <v>229</v>
      </c>
      <c r="F242" s="91">
        <v>7</v>
      </c>
      <c r="G242" s="91">
        <v>9</v>
      </c>
      <c r="H242" s="91">
        <v>2</v>
      </c>
      <c r="I242" s="11">
        <v>0.3</v>
      </c>
      <c r="J242" s="91">
        <v>5</v>
      </c>
      <c r="K242" s="91">
        <f t="shared" si="16"/>
        <v>23.3</v>
      </c>
    </row>
    <row r="243" spans="1:11" ht="16.5" customHeight="1">
      <c r="A243" s="172">
        <v>240</v>
      </c>
      <c r="B243" s="92" t="s">
        <v>177</v>
      </c>
      <c r="C243" s="21" t="s">
        <v>228</v>
      </c>
      <c r="D243" s="20">
        <v>10</v>
      </c>
      <c r="E243" s="11" t="s">
        <v>229</v>
      </c>
      <c r="F243" s="91">
        <v>20</v>
      </c>
      <c r="G243" s="91">
        <v>10</v>
      </c>
      <c r="H243" s="91">
        <v>3</v>
      </c>
      <c r="I243" s="11">
        <v>0.3</v>
      </c>
      <c r="J243" s="91">
        <v>5</v>
      </c>
      <c r="K243" s="91">
        <f t="shared" si="16"/>
        <v>38.299999999999997</v>
      </c>
    </row>
    <row r="244" spans="1:11" ht="16.5" customHeight="1">
      <c r="A244" s="172">
        <v>241</v>
      </c>
      <c r="B244" s="19" t="s">
        <v>325</v>
      </c>
      <c r="C244" s="11" t="s">
        <v>340</v>
      </c>
      <c r="D244" s="11"/>
      <c r="E244" s="11" t="s">
        <v>229</v>
      </c>
      <c r="F244" s="5">
        <v>1</v>
      </c>
      <c r="G244" s="5">
        <v>4</v>
      </c>
      <c r="H244" s="5"/>
      <c r="I244" s="11">
        <v>0.01</v>
      </c>
      <c r="J244" s="5">
        <v>0</v>
      </c>
      <c r="K244" s="5">
        <f t="shared" si="16"/>
        <v>5.01</v>
      </c>
    </row>
    <row r="245" spans="1:11" ht="16.5" customHeight="1">
      <c r="A245" s="172">
        <v>242</v>
      </c>
      <c r="B245" s="56" t="s">
        <v>190</v>
      </c>
      <c r="C245" s="21" t="s">
        <v>228</v>
      </c>
      <c r="D245" s="20">
        <v>4</v>
      </c>
      <c r="E245" s="11" t="s">
        <v>229</v>
      </c>
      <c r="F245" s="91">
        <v>5</v>
      </c>
      <c r="G245" s="91">
        <v>5</v>
      </c>
      <c r="H245" s="91">
        <v>5</v>
      </c>
      <c r="I245" s="11">
        <v>0.2</v>
      </c>
      <c r="J245" s="91">
        <v>5</v>
      </c>
      <c r="K245" s="91">
        <f t="shared" si="16"/>
        <v>20.2</v>
      </c>
    </row>
    <row r="246" spans="1:11" ht="16.5" customHeight="1">
      <c r="A246" s="172">
        <v>243</v>
      </c>
      <c r="B246" s="166" t="s">
        <v>787</v>
      </c>
      <c r="C246" s="21" t="s">
        <v>300</v>
      </c>
      <c r="D246" s="20"/>
      <c r="E246" s="162" t="s">
        <v>229</v>
      </c>
      <c r="F246" s="5">
        <v>3</v>
      </c>
      <c r="G246" s="5">
        <v>1</v>
      </c>
      <c r="H246" s="5">
        <v>1</v>
      </c>
      <c r="I246" s="162">
        <v>0</v>
      </c>
      <c r="J246" s="5">
        <v>5</v>
      </c>
      <c r="K246" s="5">
        <f t="shared" ref="K246" si="18">SUM(F246:J246)</f>
        <v>10</v>
      </c>
    </row>
    <row r="247" spans="1:11" ht="16.5" customHeight="1">
      <c r="A247" s="172">
        <v>244</v>
      </c>
      <c r="B247" s="56" t="s">
        <v>204</v>
      </c>
      <c r="C247" s="21" t="s">
        <v>228</v>
      </c>
      <c r="D247" s="20">
        <v>5</v>
      </c>
      <c r="E247" s="11" t="s">
        <v>229</v>
      </c>
      <c r="F247" s="5">
        <v>12</v>
      </c>
      <c r="G247" s="5">
        <v>5</v>
      </c>
      <c r="H247" s="5">
        <v>5</v>
      </c>
      <c r="I247" s="11">
        <v>0.2</v>
      </c>
      <c r="J247" s="5">
        <v>8</v>
      </c>
      <c r="K247" s="5">
        <f t="shared" si="16"/>
        <v>30.2</v>
      </c>
    </row>
    <row r="248" spans="1:11" ht="16.5" customHeight="1">
      <c r="A248" s="172">
        <v>245</v>
      </c>
      <c r="B248" s="58" t="s">
        <v>273</v>
      </c>
      <c r="C248" s="11" t="s">
        <v>309</v>
      </c>
      <c r="D248" s="11"/>
      <c r="E248" s="11" t="s">
        <v>229</v>
      </c>
      <c r="F248" s="5">
        <v>2</v>
      </c>
      <c r="G248" s="5">
        <v>0.05</v>
      </c>
      <c r="H248" s="5">
        <v>0.5</v>
      </c>
      <c r="I248" s="85">
        <v>0.01</v>
      </c>
      <c r="J248" s="5">
        <v>0</v>
      </c>
      <c r="K248" s="5">
        <f t="shared" si="16"/>
        <v>2.5599999999999996</v>
      </c>
    </row>
    <row r="249" spans="1:11" ht="16.5" customHeight="1">
      <c r="A249" s="172">
        <v>246</v>
      </c>
      <c r="B249" s="44" t="s">
        <v>166</v>
      </c>
      <c r="C249" s="21" t="s">
        <v>228</v>
      </c>
      <c r="D249" s="20">
        <v>10</v>
      </c>
      <c r="E249" s="11" t="s">
        <v>229</v>
      </c>
      <c r="F249" s="91">
        <v>15</v>
      </c>
      <c r="G249" s="91">
        <v>12</v>
      </c>
      <c r="H249" s="91">
        <v>3</v>
      </c>
      <c r="I249" s="85">
        <v>0.3</v>
      </c>
      <c r="J249" s="91">
        <v>11</v>
      </c>
      <c r="K249" s="91">
        <f t="shared" si="16"/>
        <v>41.3</v>
      </c>
    </row>
    <row r="250" spans="1:11" ht="16.5" customHeight="1">
      <c r="A250" s="172">
        <v>247</v>
      </c>
      <c r="B250" s="45" t="s">
        <v>127</v>
      </c>
      <c r="C250" s="21" t="s">
        <v>228</v>
      </c>
      <c r="D250" s="46">
        <v>30</v>
      </c>
      <c r="E250" s="11" t="s">
        <v>229</v>
      </c>
      <c r="F250" s="91">
        <v>29</v>
      </c>
      <c r="G250" s="91">
        <v>18</v>
      </c>
      <c r="H250" s="91">
        <v>5</v>
      </c>
      <c r="I250" s="131">
        <v>0.5</v>
      </c>
      <c r="J250" s="91">
        <v>12</v>
      </c>
      <c r="K250" s="91">
        <f t="shared" si="16"/>
        <v>64.5</v>
      </c>
    </row>
    <row r="251" spans="1:11" ht="16.5" customHeight="1">
      <c r="A251" s="172">
        <v>248</v>
      </c>
      <c r="B251" s="56" t="s">
        <v>152</v>
      </c>
      <c r="C251" s="21" t="s">
        <v>228</v>
      </c>
      <c r="D251" s="20">
        <v>15</v>
      </c>
      <c r="E251" s="11" t="s">
        <v>229</v>
      </c>
      <c r="F251" s="91">
        <v>16</v>
      </c>
      <c r="G251" s="91">
        <v>9</v>
      </c>
      <c r="H251" s="91">
        <v>3</v>
      </c>
      <c r="I251" s="85">
        <v>0.4</v>
      </c>
      <c r="J251" s="91">
        <v>8</v>
      </c>
      <c r="K251" s="91">
        <f t="shared" si="16"/>
        <v>36.4</v>
      </c>
    </row>
    <row r="252" spans="1:11" ht="16.5" customHeight="1">
      <c r="A252" s="172">
        <v>249</v>
      </c>
      <c r="B252" s="58" t="s">
        <v>281</v>
      </c>
      <c r="C252" s="11" t="s">
        <v>309</v>
      </c>
      <c r="D252" s="11"/>
      <c r="E252" s="11" t="s">
        <v>229</v>
      </c>
      <c r="F252" s="5">
        <v>1</v>
      </c>
      <c r="G252" s="5">
        <v>0.3</v>
      </c>
      <c r="H252" s="5">
        <v>0.5</v>
      </c>
      <c r="I252" s="85">
        <v>0.01</v>
      </c>
      <c r="J252" s="5">
        <v>0</v>
      </c>
      <c r="K252" s="5">
        <f t="shared" si="16"/>
        <v>1.81</v>
      </c>
    </row>
    <row r="253" spans="1:11" ht="16.5" customHeight="1">
      <c r="A253" s="172">
        <v>250</v>
      </c>
      <c r="B253" s="56" t="s">
        <v>103</v>
      </c>
      <c r="C253" s="21" t="s">
        <v>228</v>
      </c>
      <c r="D253" s="20">
        <v>50</v>
      </c>
      <c r="E253" s="11" t="s">
        <v>229</v>
      </c>
      <c r="F253" s="91">
        <v>56</v>
      </c>
      <c r="G253" s="91">
        <v>27</v>
      </c>
      <c r="H253" s="91">
        <v>5</v>
      </c>
      <c r="I253" s="85">
        <v>0.9</v>
      </c>
      <c r="J253" s="91">
        <v>19</v>
      </c>
      <c r="K253" s="91">
        <f t="shared" si="16"/>
        <v>107.9</v>
      </c>
    </row>
    <row r="254" spans="1:11" ht="16.5" customHeight="1">
      <c r="A254" s="172">
        <v>251</v>
      </c>
      <c r="B254" s="124" t="s">
        <v>712</v>
      </c>
      <c r="C254" s="21" t="s">
        <v>228</v>
      </c>
      <c r="D254" s="20">
        <v>30</v>
      </c>
      <c r="E254" s="11" t="s">
        <v>229</v>
      </c>
      <c r="F254" s="91">
        <v>30</v>
      </c>
      <c r="G254" s="91">
        <v>18</v>
      </c>
      <c r="H254" s="91">
        <v>6</v>
      </c>
      <c r="I254" s="85">
        <v>0.8</v>
      </c>
      <c r="J254" s="91">
        <v>3</v>
      </c>
      <c r="K254" s="91">
        <f t="shared" si="16"/>
        <v>57.8</v>
      </c>
    </row>
    <row r="255" spans="1:11" ht="16.5" customHeight="1">
      <c r="A255" s="172">
        <v>252</v>
      </c>
      <c r="B255" s="56" t="s">
        <v>187</v>
      </c>
      <c r="C255" s="21" t="s">
        <v>228</v>
      </c>
      <c r="D255" s="20">
        <v>8</v>
      </c>
      <c r="E255" s="11" t="s">
        <v>229</v>
      </c>
      <c r="F255" s="91">
        <v>2</v>
      </c>
      <c r="G255" s="91">
        <v>7</v>
      </c>
      <c r="H255" s="91">
        <v>3</v>
      </c>
      <c r="I255" s="85">
        <v>0.3</v>
      </c>
      <c r="J255" s="91">
        <v>5</v>
      </c>
      <c r="K255" s="91">
        <f t="shared" si="16"/>
        <v>17.3</v>
      </c>
    </row>
    <row r="256" spans="1:11" ht="16.5" customHeight="1">
      <c r="A256" s="172">
        <v>253</v>
      </c>
      <c r="B256" s="58" t="s">
        <v>241</v>
      </c>
      <c r="C256" s="11" t="s">
        <v>300</v>
      </c>
      <c r="D256" s="11"/>
      <c r="E256" s="11" t="s">
        <v>229</v>
      </c>
      <c r="F256" s="5">
        <v>2</v>
      </c>
      <c r="G256" s="5">
        <v>2</v>
      </c>
      <c r="H256" s="5">
        <v>2</v>
      </c>
      <c r="I256" s="85">
        <v>0</v>
      </c>
      <c r="J256" s="5">
        <v>0</v>
      </c>
      <c r="K256" s="5">
        <f t="shared" si="16"/>
        <v>6</v>
      </c>
    </row>
    <row r="257" spans="1:11" ht="16.5" customHeight="1">
      <c r="A257" s="172">
        <v>254</v>
      </c>
      <c r="B257" s="58" t="s">
        <v>306</v>
      </c>
      <c r="C257" s="11" t="s">
        <v>309</v>
      </c>
      <c r="D257" s="11"/>
      <c r="E257" s="11" t="s">
        <v>229</v>
      </c>
      <c r="F257" s="5">
        <v>3</v>
      </c>
      <c r="G257" s="5">
        <v>0.5</v>
      </c>
      <c r="H257" s="5">
        <v>0.3</v>
      </c>
      <c r="I257" s="85">
        <v>0.01</v>
      </c>
      <c r="J257" s="5">
        <v>0</v>
      </c>
      <c r="K257" s="5">
        <f t="shared" si="16"/>
        <v>3.8099999999999996</v>
      </c>
    </row>
    <row r="258" spans="1:11" ht="16.5" customHeight="1">
      <c r="A258" s="172">
        <v>255</v>
      </c>
      <c r="B258" s="58" t="s">
        <v>240</v>
      </c>
      <c r="C258" s="11" t="s">
        <v>300</v>
      </c>
      <c r="D258" s="11"/>
      <c r="E258" s="11" t="s">
        <v>229</v>
      </c>
      <c r="F258" s="5">
        <v>2</v>
      </c>
      <c r="G258" s="5">
        <v>1</v>
      </c>
      <c r="H258" s="5">
        <v>1</v>
      </c>
      <c r="I258" s="85">
        <v>0</v>
      </c>
      <c r="J258" s="5">
        <v>0</v>
      </c>
      <c r="K258" s="5">
        <f t="shared" si="16"/>
        <v>4</v>
      </c>
    </row>
    <row r="259" spans="1:11" ht="16.5" customHeight="1">
      <c r="A259" s="172">
        <v>256</v>
      </c>
      <c r="B259" s="58" t="s">
        <v>267</v>
      </c>
      <c r="C259" s="11" t="s">
        <v>309</v>
      </c>
      <c r="D259" s="11"/>
      <c r="E259" s="11" t="s">
        <v>229</v>
      </c>
      <c r="F259" s="5">
        <v>1</v>
      </c>
      <c r="G259" s="5">
        <v>0.05</v>
      </c>
      <c r="H259" s="5">
        <v>0.2</v>
      </c>
      <c r="I259" s="85">
        <v>0.01</v>
      </c>
      <c r="J259" s="5">
        <v>0</v>
      </c>
      <c r="K259" s="5">
        <f t="shared" si="16"/>
        <v>1.26</v>
      </c>
    </row>
    <row r="260" spans="1:11" ht="16.5" customHeight="1">
      <c r="A260" s="172">
        <v>257</v>
      </c>
      <c r="B260" s="19" t="s">
        <v>318</v>
      </c>
      <c r="C260" s="11" t="s">
        <v>340</v>
      </c>
      <c r="D260" s="11"/>
      <c r="E260" s="11" t="s">
        <v>229</v>
      </c>
      <c r="F260" s="5">
        <v>3</v>
      </c>
      <c r="G260" s="5">
        <v>4</v>
      </c>
      <c r="H260" s="5"/>
      <c r="I260" s="85">
        <v>0.01</v>
      </c>
      <c r="J260" s="5">
        <v>0</v>
      </c>
      <c r="K260" s="5">
        <f t="shared" si="16"/>
        <v>7.01</v>
      </c>
    </row>
    <row r="261" spans="1:11" ht="16.5" customHeight="1">
      <c r="A261" s="172">
        <v>258</v>
      </c>
      <c r="B261" s="56" t="s">
        <v>100</v>
      </c>
      <c r="C261" s="21" t="s">
        <v>228</v>
      </c>
      <c r="D261" s="20">
        <v>130</v>
      </c>
      <c r="E261" s="11" t="s">
        <v>229</v>
      </c>
      <c r="F261" s="91">
        <v>116</v>
      </c>
      <c r="G261" s="91">
        <v>63</v>
      </c>
      <c r="H261" s="91">
        <v>12</v>
      </c>
      <c r="I261" s="131">
        <v>0.9</v>
      </c>
      <c r="J261" s="91">
        <v>0</v>
      </c>
      <c r="K261" s="91">
        <f t="shared" si="16"/>
        <v>191.9</v>
      </c>
    </row>
    <row r="262" spans="1:11" ht="16.5" customHeight="1">
      <c r="A262" s="172">
        <v>259</v>
      </c>
      <c r="B262" s="59" t="s">
        <v>296</v>
      </c>
      <c r="C262" s="11" t="s">
        <v>300</v>
      </c>
      <c r="D262" s="11"/>
      <c r="E262" s="11" t="s">
        <v>229</v>
      </c>
      <c r="F262" s="5">
        <v>3</v>
      </c>
      <c r="G262" s="5">
        <v>0.5</v>
      </c>
      <c r="H262" s="5">
        <v>0.1</v>
      </c>
      <c r="I262" s="85">
        <v>0.01</v>
      </c>
      <c r="J262" s="5">
        <v>0</v>
      </c>
      <c r="K262" s="5">
        <f t="shared" si="16"/>
        <v>3.61</v>
      </c>
    </row>
    <row r="263" spans="1:11" ht="16.5" customHeight="1">
      <c r="A263" s="172">
        <v>260</v>
      </c>
      <c r="B263" s="56" t="s">
        <v>110</v>
      </c>
      <c r="C263" s="21" t="s">
        <v>228</v>
      </c>
      <c r="D263" s="20">
        <v>35</v>
      </c>
      <c r="E263" s="11" t="s">
        <v>229</v>
      </c>
      <c r="F263" s="91">
        <v>37</v>
      </c>
      <c r="G263" s="91">
        <v>18</v>
      </c>
      <c r="H263" s="91">
        <v>10</v>
      </c>
      <c r="I263" s="85">
        <v>0.8</v>
      </c>
      <c r="J263" s="91">
        <v>0</v>
      </c>
      <c r="K263" s="91">
        <f t="shared" si="16"/>
        <v>65.8</v>
      </c>
    </row>
    <row r="264" spans="1:11" ht="16.5" customHeight="1">
      <c r="A264" s="172">
        <v>261</v>
      </c>
      <c r="B264" s="19" t="s">
        <v>189</v>
      </c>
      <c r="C264" s="21" t="s">
        <v>228</v>
      </c>
      <c r="D264" s="20">
        <v>8</v>
      </c>
      <c r="E264" s="11" t="s">
        <v>229</v>
      </c>
      <c r="F264" s="91">
        <v>10</v>
      </c>
      <c r="G264" s="91">
        <v>8</v>
      </c>
      <c r="H264" s="91">
        <v>6</v>
      </c>
      <c r="I264" s="85">
        <v>0.4</v>
      </c>
      <c r="J264" s="91">
        <v>5</v>
      </c>
      <c r="K264" s="91">
        <f t="shared" si="16"/>
        <v>29.4</v>
      </c>
    </row>
    <row r="265" spans="1:11" ht="16.5" customHeight="1">
      <c r="A265" s="172">
        <v>262</v>
      </c>
      <c r="B265" s="19" t="s">
        <v>105</v>
      </c>
      <c r="C265" s="21" t="s">
        <v>228</v>
      </c>
      <c r="D265" s="20">
        <v>50</v>
      </c>
      <c r="E265" s="11" t="s">
        <v>229</v>
      </c>
      <c r="F265" s="91">
        <v>42</v>
      </c>
      <c r="G265" s="91">
        <v>21</v>
      </c>
      <c r="H265" s="91">
        <v>15</v>
      </c>
      <c r="I265" s="11">
        <v>0.9</v>
      </c>
      <c r="J265" s="91">
        <v>0</v>
      </c>
      <c r="K265" s="91">
        <f t="shared" si="16"/>
        <v>78.900000000000006</v>
      </c>
    </row>
    <row r="266" spans="1:11" ht="16.5" customHeight="1">
      <c r="A266" s="172">
        <v>263</v>
      </c>
      <c r="B266" s="19" t="s">
        <v>212</v>
      </c>
      <c r="C266" s="21" t="s">
        <v>228</v>
      </c>
      <c r="D266" s="46">
        <v>5</v>
      </c>
      <c r="E266" s="11" t="s">
        <v>229</v>
      </c>
      <c r="F266" s="5">
        <v>8</v>
      </c>
      <c r="G266" s="5">
        <v>2</v>
      </c>
      <c r="H266" s="5">
        <v>1</v>
      </c>
      <c r="I266" s="11">
        <v>0.4</v>
      </c>
      <c r="J266" s="5">
        <v>8</v>
      </c>
      <c r="K266" s="5">
        <f t="shared" si="16"/>
        <v>19.399999999999999</v>
      </c>
    </row>
    <row r="267" spans="1:11" ht="16.5" customHeight="1">
      <c r="A267" s="172">
        <v>264</v>
      </c>
      <c r="B267" s="56" t="s">
        <v>108</v>
      </c>
      <c r="C267" s="21" t="s">
        <v>228</v>
      </c>
      <c r="D267" s="20">
        <v>49</v>
      </c>
      <c r="E267" s="11" t="s">
        <v>229</v>
      </c>
      <c r="F267" s="91">
        <v>47</v>
      </c>
      <c r="G267" s="91">
        <v>24</v>
      </c>
      <c r="H267" s="91">
        <v>12</v>
      </c>
      <c r="I267" s="131">
        <v>0.9</v>
      </c>
      <c r="J267" s="91">
        <v>0</v>
      </c>
      <c r="K267" s="91">
        <f t="shared" si="16"/>
        <v>83.9</v>
      </c>
    </row>
    <row r="268" spans="1:11" ht="16.5" customHeight="1">
      <c r="A268" s="172">
        <v>265</v>
      </c>
      <c r="B268" s="56" t="s">
        <v>157</v>
      </c>
      <c r="C268" s="21" t="s">
        <v>228</v>
      </c>
      <c r="D268" s="20">
        <v>10</v>
      </c>
      <c r="E268" s="11" t="s">
        <v>229</v>
      </c>
      <c r="F268" s="91">
        <v>6</v>
      </c>
      <c r="G268" s="91">
        <v>8</v>
      </c>
      <c r="H268" s="91">
        <v>4</v>
      </c>
      <c r="I268" s="11">
        <v>0.4</v>
      </c>
      <c r="J268" s="91">
        <v>0</v>
      </c>
      <c r="K268" s="91">
        <f t="shared" si="16"/>
        <v>18.399999999999999</v>
      </c>
    </row>
    <row r="269" spans="1:11" ht="16.5" customHeight="1">
      <c r="A269" s="172">
        <v>266</v>
      </c>
      <c r="B269" s="58" t="s">
        <v>301</v>
      </c>
      <c r="C269" s="11" t="s">
        <v>309</v>
      </c>
      <c r="D269" s="11"/>
      <c r="E269" s="11" t="s">
        <v>229</v>
      </c>
      <c r="F269" s="5">
        <v>2</v>
      </c>
      <c r="G269" s="5">
        <v>0.5</v>
      </c>
      <c r="H269" s="5">
        <v>0.5</v>
      </c>
      <c r="I269" s="91">
        <v>0.01</v>
      </c>
      <c r="J269" s="5">
        <v>0</v>
      </c>
      <c r="K269" s="5">
        <f t="shared" si="16"/>
        <v>3.01</v>
      </c>
    </row>
    <row r="270" spans="1:11" ht="16.5" customHeight="1">
      <c r="A270" s="172">
        <v>267</v>
      </c>
      <c r="B270" s="56" t="s">
        <v>224</v>
      </c>
      <c r="C270" s="21" t="s">
        <v>228</v>
      </c>
      <c r="D270" s="20">
        <v>3</v>
      </c>
      <c r="E270" s="11" t="s">
        <v>229</v>
      </c>
      <c r="F270" s="5">
        <v>4</v>
      </c>
      <c r="G270" s="5">
        <v>2</v>
      </c>
      <c r="H270" s="5">
        <v>2</v>
      </c>
      <c r="I270" s="91">
        <v>0.3</v>
      </c>
      <c r="J270" s="5">
        <v>5</v>
      </c>
      <c r="K270" s="5">
        <f t="shared" si="16"/>
        <v>13.3</v>
      </c>
    </row>
    <row r="271" spans="1:11" ht="16.5" customHeight="1">
      <c r="A271" s="172">
        <v>268</v>
      </c>
      <c r="B271" s="58" t="s">
        <v>266</v>
      </c>
      <c r="C271" s="11" t="s">
        <v>309</v>
      </c>
      <c r="D271" s="11"/>
      <c r="E271" s="11" t="s">
        <v>229</v>
      </c>
      <c r="F271" s="5">
        <v>1</v>
      </c>
      <c r="G271" s="5">
        <v>1</v>
      </c>
      <c r="H271" s="5">
        <v>1</v>
      </c>
      <c r="I271" s="11">
        <v>0.01</v>
      </c>
      <c r="J271" s="5">
        <v>0</v>
      </c>
      <c r="K271" s="5">
        <f t="shared" si="16"/>
        <v>3.01</v>
      </c>
    </row>
    <row r="272" spans="1:11" ht="16.5" customHeight="1">
      <c r="A272" s="172">
        <v>269</v>
      </c>
      <c r="B272" s="19" t="s">
        <v>331</v>
      </c>
      <c r="C272" s="11" t="s">
        <v>340</v>
      </c>
      <c r="D272" s="11"/>
      <c r="E272" s="11" t="s">
        <v>229</v>
      </c>
      <c r="F272" s="5">
        <v>3</v>
      </c>
      <c r="G272" s="5">
        <v>3</v>
      </c>
      <c r="H272" s="5"/>
      <c r="I272" s="5">
        <v>0.01</v>
      </c>
      <c r="J272" s="5">
        <v>0</v>
      </c>
      <c r="K272" s="5">
        <f t="shared" si="16"/>
        <v>6.01</v>
      </c>
    </row>
    <row r="273" spans="1:11" ht="16.5" customHeight="1">
      <c r="A273" s="172">
        <v>270</v>
      </c>
      <c r="B273" s="19" t="s">
        <v>317</v>
      </c>
      <c r="C273" s="11" t="s">
        <v>340</v>
      </c>
      <c r="D273" s="11"/>
      <c r="E273" s="11" t="s">
        <v>229</v>
      </c>
      <c r="F273" s="5">
        <v>2</v>
      </c>
      <c r="G273" s="5">
        <v>4</v>
      </c>
      <c r="H273" s="5"/>
      <c r="I273" s="91">
        <v>0.01</v>
      </c>
      <c r="J273" s="5">
        <v>0</v>
      </c>
      <c r="K273" s="5">
        <f t="shared" si="16"/>
        <v>6.01</v>
      </c>
    </row>
    <row r="274" spans="1:11" ht="16.5" customHeight="1">
      <c r="A274" s="172">
        <v>271</v>
      </c>
      <c r="B274" s="58" t="s">
        <v>10</v>
      </c>
      <c r="C274" s="11" t="s">
        <v>300</v>
      </c>
      <c r="D274" s="11"/>
      <c r="E274" s="11" t="s">
        <v>229</v>
      </c>
      <c r="F274" s="5">
        <v>2</v>
      </c>
      <c r="G274" s="5">
        <v>2</v>
      </c>
      <c r="H274" s="5">
        <v>2</v>
      </c>
      <c r="I274" s="91">
        <v>0.01</v>
      </c>
      <c r="J274" s="5">
        <v>0</v>
      </c>
      <c r="K274" s="5">
        <f t="shared" si="16"/>
        <v>6.01</v>
      </c>
    </row>
    <row r="275" spans="1:11" ht="16.5" customHeight="1">
      <c r="A275" s="172">
        <v>272</v>
      </c>
      <c r="B275" s="58" t="s">
        <v>243</v>
      </c>
      <c r="C275" s="11" t="s">
        <v>300</v>
      </c>
      <c r="D275" s="11"/>
      <c r="E275" s="11" t="s">
        <v>229</v>
      </c>
      <c r="F275" s="5">
        <v>2</v>
      </c>
      <c r="G275" s="5">
        <v>1</v>
      </c>
      <c r="H275" s="5">
        <v>1</v>
      </c>
      <c r="I275" s="91">
        <v>0</v>
      </c>
      <c r="J275" s="5">
        <v>0</v>
      </c>
      <c r="K275" s="5">
        <f t="shared" si="16"/>
        <v>4</v>
      </c>
    </row>
    <row r="276" spans="1:11" ht="16.5" customHeight="1">
      <c r="A276" s="172">
        <v>273</v>
      </c>
      <c r="B276" s="44" t="s">
        <v>101</v>
      </c>
      <c r="C276" s="21" t="s">
        <v>228</v>
      </c>
      <c r="D276" s="20">
        <v>80</v>
      </c>
      <c r="E276" s="11" t="s">
        <v>229</v>
      </c>
      <c r="F276" s="91">
        <v>54</v>
      </c>
      <c r="G276" s="91">
        <v>28</v>
      </c>
      <c r="H276" s="91">
        <v>8</v>
      </c>
      <c r="I276" s="91">
        <v>0.9</v>
      </c>
      <c r="J276" s="91">
        <v>0</v>
      </c>
      <c r="K276" s="91">
        <f t="shared" ref="K276:K281" si="19">SUM(F276:J276)</f>
        <v>90.9</v>
      </c>
    </row>
    <row r="277" spans="1:11" ht="16.5" customHeight="1">
      <c r="A277" s="172">
        <v>274</v>
      </c>
      <c r="B277" s="58" t="s">
        <v>282</v>
      </c>
      <c r="C277" s="11" t="s">
        <v>309</v>
      </c>
      <c r="D277" s="11"/>
      <c r="E277" s="11" t="s">
        <v>229</v>
      </c>
      <c r="F277" s="5">
        <v>2</v>
      </c>
      <c r="G277" s="5">
        <v>0.03</v>
      </c>
      <c r="H277" s="5">
        <v>0.5</v>
      </c>
      <c r="I277" s="91">
        <v>0.01</v>
      </c>
      <c r="J277" s="5">
        <v>0</v>
      </c>
      <c r="K277" s="5">
        <f t="shared" si="19"/>
        <v>2.5399999999999996</v>
      </c>
    </row>
    <row r="278" spans="1:11" ht="16.5" customHeight="1">
      <c r="A278" s="172">
        <v>275</v>
      </c>
      <c r="B278" s="56" t="s">
        <v>9</v>
      </c>
      <c r="C278" s="21" t="s">
        <v>228</v>
      </c>
      <c r="D278" s="20">
        <v>30</v>
      </c>
      <c r="E278" s="80" t="s">
        <v>229</v>
      </c>
      <c r="F278" s="91">
        <v>27</v>
      </c>
      <c r="G278" s="91">
        <v>16</v>
      </c>
      <c r="H278" s="91">
        <v>4</v>
      </c>
      <c r="I278" s="91">
        <v>0.6</v>
      </c>
      <c r="J278" s="91">
        <v>0</v>
      </c>
      <c r="K278" s="91">
        <f t="shared" si="19"/>
        <v>47.6</v>
      </c>
    </row>
    <row r="279" spans="1:11" ht="16.5" customHeight="1">
      <c r="A279" s="172">
        <v>276</v>
      </c>
      <c r="B279" s="58" t="s">
        <v>285</v>
      </c>
      <c r="C279" s="83" t="s">
        <v>300</v>
      </c>
      <c r="D279" s="11"/>
      <c r="E279" s="11" t="s">
        <v>229</v>
      </c>
      <c r="F279" s="5">
        <v>2</v>
      </c>
      <c r="G279" s="5">
        <v>3</v>
      </c>
      <c r="H279" s="5">
        <v>2</v>
      </c>
      <c r="I279" s="91">
        <v>0.1</v>
      </c>
      <c r="J279" s="5">
        <v>0</v>
      </c>
      <c r="K279" s="5">
        <f t="shared" si="19"/>
        <v>7.1</v>
      </c>
    </row>
    <row r="280" spans="1:11" ht="16.5" customHeight="1">
      <c r="A280" s="172">
        <v>277</v>
      </c>
      <c r="B280" s="125" t="s">
        <v>713</v>
      </c>
      <c r="C280" s="107" t="s">
        <v>340</v>
      </c>
      <c r="D280" s="91"/>
      <c r="E280" s="107" t="s">
        <v>229</v>
      </c>
      <c r="F280" s="5">
        <v>2</v>
      </c>
      <c r="G280" s="5">
        <v>3</v>
      </c>
      <c r="H280" s="5"/>
      <c r="I280" s="131">
        <v>0.1</v>
      </c>
      <c r="J280" s="5">
        <v>0</v>
      </c>
      <c r="K280" s="5">
        <f t="shared" si="19"/>
        <v>5.0999999999999996</v>
      </c>
    </row>
    <row r="281" spans="1:11" ht="16.5" customHeight="1">
      <c r="A281" s="172">
        <v>278</v>
      </c>
      <c r="B281" s="108" t="s">
        <v>299</v>
      </c>
      <c r="C281" s="5" t="s">
        <v>300</v>
      </c>
      <c r="D281" s="5"/>
      <c r="E281" s="107" t="s">
        <v>229</v>
      </c>
      <c r="F281" s="5">
        <v>2</v>
      </c>
      <c r="G281" s="5">
        <v>2</v>
      </c>
      <c r="H281" s="5">
        <v>2</v>
      </c>
      <c r="I281" s="131">
        <v>0.1</v>
      </c>
      <c r="J281" s="5">
        <v>0</v>
      </c>
      <c r="K281" s="5">
        <f t="shared" si="19"/>
        <v>6.1</v>
      </c>
    </row>
    <row r="282" spans="1:11" ht="16.5" customHeight="1">
      <c r="A282" s="172">
        <v>279</v>
      </c>
      <c r="B282" s="108" t="s">
        <v>714</v>
      </c>
      <c r="C282" s="5" t="s">
        <v>300</v>
      </c>
      <c r="D282" s="5"/>
      <c r="E282" s="107" t="s">
        <v>229</v>
      </c>
      <c r="F282" s="5">
        <v>3</v>
      </c>
      <c r="G282" s="5">
        <v>0.5</v>
      </c>
      <c r="H282" s="5">
        <v>0.1</v>
      </c>
      <c r="I282" s="131">
        <v>0.1</v>
      </c>
      <c r="J282" s="5">
        <v>0</v>
      </c>
      <c r="K282" s="5">
        <f t="shared" ref="K282:K283" si="20">SUM(F282:J282)</f>
        <v>3.7</v>
      </c>
    </row>
    <row r="283" spans="1:11" ht="16.5" customHeight="1">
      <c r="A283" s="172">
        <v>280</v>
      </c>
      <c r="B283" s="126" t="s">
        <v>715</v>
      </c>
      <c r="C283" s="5" t="s">
        <v>300</v>
      </c>
      <c r="D283" s="5"/>
      <c r="E283" s="107" t="s">
        <v>229</v>
      </c>
      <c r="F283" s="5">
        <v>3</v>
      </c>
      <c r="G283" s="5">
        <v>0.5</v>
      </c>
      <c r="H283" s="5">
        <v>0.1</v>
      </c>
      <c r="I283" s="131">
        <v>0.1</v>
      </c>
      <c r="J283" s="5">
        <v>0</v>
      </c>
      <c r="K283" s="5">
        <f t="shared" si="20"/>
        <v>3.7</v>
      </c>
    </row>
    <row r="284" spans="1:11" ht="16.5" customHeight="1">
      <c r="A284" s="172">
        <v>281</v>
      </c>
      <c r="B284" s="125" t="s">
        <v>716</v>
      </c>
      <c r="C284" s="5" t="s">
        <v>340</v>
      </c>
      <c r="D284" s="5"/>
      <c r="E284" s="107" t="s">
        <v>229</v>
      </c>
      <c r="F284" s="5">
        <v>2</v>
      </c>
      <c r="G284" s="5">
        <v>4</v>
      </c>
      <c r="H284" s="5"/>
      <c r="I284" s="131">
        <v>0.1</v>
      </c>
      <c r="J284" s="5">
        <v>0</v>
      </c>
      <c r="K284" s="5">
        <f t="shared" ref="K284:K286" si="21">SUM(F284:J284)</f>
        <v>6.1</v>
      </c>
    </row>
    <row r="285" spans="1:11" ht="16.5" customHeight="1">
      <c r="A285" s="172">
        <v>282</v>
      </c>
      <c r="B285" s="108" t="s">
        <v>717</v>
      </c>
      <c r="C285" s="5" t="s">
        <v>340</v>
      </c>
      <c r="D285" s="5"/>
      <c r="E285" s="107" t="s">
        <v>229</v>
      </c>
      <c r="F285" s="5">
        <v>2</v>
      </c>
      <c r="G285" s="5">
        <v>3</v>
      </c>
      <c r="H285" s="5"/>
      <c r="I285" s="131">
        <v>0.1</v>
      </c>
      <c r="J285" s="5">
        <v>0</v>
      </c>
      <c r="K285" s="5">
        <f t="shared" si="21"/>
        <v>5.0999999999999996</v>
      </c>
    </row>
    <row r="286" spans="1:11" ht="16.5" customHeight="1">
      <c r="A286" s="172">
        <v>283</v>
      </c>
      <c r="B286" s="123" t="s">
        <v>718</v>
      </c>
      <c r="C286" s="5" t="s">
        <v>300</v>
      </c>
      <c r="D286" s="5"/>
      <c r="E286" s="107" t="s">
        <v>229</v>
      </c>
      <c r="F286" s="5">
        <v>2</v>
      </c>
      <c r="G286" s="5">
        <v>2</v>
      </c>
      <c r="H286" s="5">
        <v>2</v>
      </c>
      <c r="I286" s="131">
        <v>0.1</v>
      </c>
      <c r="J286" s="5">
        <v>0</v>
      </c>
      <c r="K286" s="5">
        <f t="shared" si="21"/>
        <v>6.1</v>
      </c>
    </row>
    <row r="287" spans="1:11" ht="16.5" customHeight="1">
      <c r="A287" s="172">
        <v>284</v>
      </c>
      <c r="B287" s="108" t="s">
        <v>719</v>
      </c>
      <c r="C287" s="5" t="s">
        <v>300</v>
      </c>
      <c r="D287" s="5"/>
      <c r="E287" s="107" t="s">
        <v>229</v>
      </c>
      <c r="F287" s="5">
        <v>3</v>
      </c>
      <c r="G287" s="5">
        <v>0.5</v>
      </c>
      <c r="H287" s="5">
        <v>0.1</v>
      </c>
      <c r="I287" s="131">
        <v>0.1</v>
      </c>
      <c r="J287" s="5">
        <v>0</v>
      </c>
      <c r="K287" s="5">
        <f t="shared" ref="K287:K289" si="22">SUM(F287:J287)</f>
        <v>3.7</v>
      </c>
    </row>
    <row r="288" spans="1:11" ht="16.5" customHeight="1">
      <c r="A288" s="172">
        <v>285</v>
      </c>
      <c r="B288" s="108" t="s">
        <v>720</v>
      </c>
      <c r="C288" s="5" t="s">
        <v>300</v>
      </c>
      <c r="D288" s="5"/>
      <c r="E288" s="107" t="s">
        <v>229</v>
      </c>
      <c r="F288" s="5">
        <v>3</v>
      </c>
      <c r="G288" s="5">
        <v>0.5</v>
      </c>
      <c r="H288" s="5">
        <v>0.1</v>
      </c>
      <c r="I288" s="131">
        <v>0.1</v>
      </c>
      <c r="J288" s="5">
        <v>0</v>
      </c>
      <c r="K288" s="5">
        <f t="shared" si="22"/>
        <v>3.7</v>
      </c>
    </row>
    <row r="289" spans="1:11" ht="16.5" customHeight="1">
      <c r="A289" s="172">
        <v>286</v>
      </c>
      <c r="B289" s="126" t="s">
        <v>721</v>
      </c>
      <c r="C289" s="5" t="s">
        <v>300</v>
      </c>
      <c r="D289" s="5"/>
      <c r="E289" s="107" t="s">
        <v>229</v>
      </c>
      <c r="F289" s="5">
        <v>2</v>
      </c>
      <c r="G289" s="5">
        <v>2</v>
      </c>
      <c r="H289" s="5">
        <v>2</v>
      </c>
      <c r="I289" s="131">
        <v>0.1</v>
      </c>
      <c r="J289" s="5">
        <v>0</v>
      </c>
      <c r="K289" s="5">
        <f t="shared" si="22"/>
        <v>6.1</v>
      </c>
    </row>
    <row r="290" spans="1:11" ht="16.5" customHeight="1">
      <c r="A290" s="172">
        <v>287</v>
      </c>
      <c r="B290" s="127" t="s">
        <v>722</v>
      </c>
      <c r="C290" s="5" t="s">
        <v>228</v>
      </c>
      <c r="D290" s="5">
        <v>6</v>
      </c>
      <c r="E290" s="107" t="s">
        <v>229</v>
      </c>
      <c r="F290" s="5">
        <v>8</v>
      </c>
      <c r="G290" s="5">
        <v>2</v>
      </c>
      <c r="H290" s="5">
        <v>1</v>
      </c>
      <c r="I290" s="121">
        <v>0.3</v>
      </c>
      <c r="J290" s="5">
        <v>8</v>
      </c>
      <c r="K290" s="5">
        <f t="shared" ref="K290:K292" si="23">SUM(F290:J290)</f>
        <v>19.3</v>
      </c>
    </row>
    <row r="291" spans="1:11" ht="16.5" customHeight="1">
      <c r="A291" s="172">
        <v>288</v>
      </c>
      <c r="B291" s="108" t="s">
        <v>723</v>
      </c>
      <c r="C291" s="5" t="s">
        <v>340</v>
      </c>
      <c r="D291" s="5"/>
      <c r="E291" s="107" t="s">
        <v>229</v>
      </c>
      <c r="F291" s="5">
        <v>2</v>
      </c>
      <c r="G291" s="5">
        <v>4</v>
      </c>
      <c r="H291" s="5"/>
      <c r="I291" s="131">
        <v>0.1</v>
      </c>
      <c r="J291" s="5">
        <v>0</v>
      </c>
      <c r="K291" s="5">
        <f t="shared" si="23"/>
        <v>6.1</v>
      </c>
    </row>
    <row r="292" spans="1:11" ht="16.5" customHeight="1">
      <c r="A292" s="172">
        <v>289</v>
      </c>
      <c r="B292" s="125" t="s">
        <v>724</v>
      </c>
      <c r="C292" s="5" t="s">
        <v>300</v>
      </c>
      <c r="D292" s="5"/>
      <c r="E292" s="107" t="s">
        <v>229</v>
      </c>
      <c r="F292" s="5">
        <v>2</v>
      </c>
      <c r="G292" s="5">
        <v>2</v>
      </c>
      <c r="H292" s="5">
        <v>2</v>
      </c>
      <c r="I292" s="131">
        <v>0.1</v>
      </c>
      <c r="J292" s="5">
        <v>0</v>
      </c>
      <c r="K292" s="5">
        <f t="shared" si="23"/>
        <v>6.1</v>
      </c>
    </row>
    <row r="293" spans="1:11" ht="16.5" customHeight="1">
      <c r="A293" s="172">
        <v>290</v>
      </c>
      <c r="B293" s="127" t="s">
        <v>725</v>
      </c>
      <c r="C293" s="5" t="s">
        <v>228</v>
      </c>
      <c r="D293" s="5">
        <v>10</v>
      </c>
      <c r="E293" s="107" t="s">
        <v>229</v>
      </c>
      <c r="F293" s="121">
        <v>6</v>
      </c>
      <c r="G293" s="121">
        <v>8</v>
      </c>
      <c r="H293" s="121">
        <v>5</v>
      </c>
      <c r="I293" s="121">
        <v>0.4</v>
      </c>
      <c r="J293" s="121">
        <v>0</v>
      </c>
      <c r="K293" s="121">
        <f t="shared" ref="K293:K294" si="24">SUM(F293:J293)</f>
        <v>19.399999999999999</v>
      </c>
    </row>
    <row r="294" spans="1:11" ht="16.5" customHeight="1">
      <c r="A294" s="172">
        <v>291</v>
      </c>
      <c r="B294" s="123" t="s">
        <v>726</v>
      </c>
      <c r="C294" s="5" t="s">
        <v>300</v>
      </c>
      <c r="D294" s="5"/>
      <c r="E294" s="107" t="s">
        <v>229</v>
      </c>
      <c r="F294" s="5">
        <v>2</v>
      </c>
      <c r="G294" s="5">
        <v>2</v>
      </c>
      <c r="H294" s="5">
        <v>2</v>
      </c>
      <c r="I294" s="131">
        <v>0.1</v>
      </c>
      <c r="J294" s="5">
        <v>0</v>
      </c>
      <c r="K294" s="5">
        <f t="shared" si="24"/>
        <v>6.1</v>
      </c>
    </row>
    <row r="295" spans="1:11" ht="16.5" customHeight="1">
      <c r="A295" s="172">
        <v>292</v>
      </c>
      <c r="B295" s="123" t="s">
        <v>727</v>
      </c>
      <c r="C295" s="5" t="s">
        <v>300</v>
      </c>
      <c r="D295" s="5"/>
      <c r="E295" s="107" t="s">
        <v>229</v>
      </c>
      <c r="F295" s="5">
        <v>3</v>
      </c>
      <c r="G295" s="5">
        <v>0.5</v>
      </c>
      <c r="H295" s="5">
        <v>0.1</v>
      </c>
      <c r="I295" s="131">
        <v>0.1</v>
      </c>
      <c r="J295" s="5">
        <v>0</v>
      </c>
      <c r="K295" s="5">
        <f t="shared" ref="K295:K297" si="25">SUM(F295:J295)</f>
        <v>3.7</v>
      </c>
    </row>
    <row r="296" spans="1:11" ht="16.5" customHeight="1">
      <c r="A296" s="172">
        <v>293</v>
      </c>
      <c r="B296" s="123" t="s">
        <v>728</v>
      </c>
      <c r="C296" s="5" t="s">
        <v>300</v>
      </c>
      <c r="D296" s="5"/>
      <c r="E296" s="107" t="s">
        <v>229</v>
      </c>
      <c r="F296" s="5">
        <v>3</v>
      </c>
      <c r="G296" s="5">
        <v>0.5</v>
      </c>
      <c r="H296" s="5">
        <v>0.1</v>
      </c>
      <c r="I296" s="131">
        <v>0.1</v>
      </c>
      <c r="J296" s="5">
        <v>0</v>
      </c>
      <c r="K296" s="5">
        <f t="shared" si="25"/>
        <v>3.7</v>
      </c>
    </row>
    <row r="297" spans="1:11" ht="16.5" customHeight="1">
      <c r="A297" s="172">
        <v>294</v>
      </c>
      <c r="B297" s="125" t="s">
        <v>729</v>
      </c>
      <c r="C297" s="5" t="s">
        <v>300</v>
      </c>
      <c r="D297" s="5"/>
      <c r="E297" s="107" t="s">
        <v>229</v>
      </c>
      <c r="F297" s="5">
        <v>2</v>
      </c>
      <c r="G297" s="5">
        <v>2</v>
      </c>
      <c r="H297" s="5">
        <v>2</v>
      </c>
      <c r="I297" s="131">
        <v>0.1</v>
      </c>
      <c r="J297" s="5">
        <v>0</v>
      </c>
      <c r="K297" s="5">
        <f t="shared" si="25"/>
        <v>6.1</v>
      </c>
    </row>
    <row r="298" spans="1:11" ht="16.5" customHeight="1">
      <c r="A298" s="172">
        <v>295</v>
      </c>
      <c r="B298" s="123" t="s">
        <v>730</v>
      </c>
      <c r="C298" s="5" t="s">
        <v>228</v>
      </c>
      <c r="D298" s="5">
        <v>60</v>
      </c>
      <c r="E298" s="107" t="s">
        <v>229</v>
      </c>
      <c r="F298" s="121">
        <v>56</v>
      </c>
      <c r="G298" s="121">
        <v>27</v>
      </c>
      <c r="H298" s="121">
        <v>12</v>
      </c>
      <c r="I298" s="131">
        <v>0.9</v>
      </c>
      <c r="J298" s="121">
        <v>11</v>
      </c>
      <c r="K298" s="121">
        <f t="shared" ref="K298:K300" si="26">SUM(F298:J298)</f>
        <v>106.9</v>
      </c>
    </row>
    <row r="299" spans="1:11" ht="16.5" customHeight="1">
      <c r="A299" s="172">
        <v>296</v>
      </c>
      <c r="B299" s="126" t="s">
        <v>731</v>
      </c>
      <c r="C299" s="5" t="s">
        <v>340</v>
      </c>
      <c r="D299" s="5"/>
      <c r="E299" s="107" t="s">
        <v>229</v>
      </c>
      <c r="F299" s="5">
        <v>2</v>
      </c>
      <c r="G299" s="5">
        <v>3</v>
      </c>
      <c r="H299" s="5"/>
      <c r="I299" s="131">
        <v>0.1</v>
      </c>
      <c r="J299" s="5">
        <v>0</v>
      </c>
      <c r="K299" s="5">
        <f t="shared" si="26"/>
        <v>5.0999999999999996</v>
      </c>
    </row>
    <row r="300" spans="1:11" ht="16.5" customHeight="1">
      <c r="A300" s="172">
        <v>297</v>
      </c>
      <c r="B300" s="127" t="s">
        <v>732</v>
      </c>
      <c r="C300" s="5" t="s">
        <v>300</v>
      </c>
      <c r="D300" s="5"/>
      <c r="E300" s="107" t="s">
        <v>229</v>
      </c>
      <c r="F300" s="5">
        <v>2</v>
      </c>
      <c r="G300" s="5">
        <v>2</v>
      </c>
      <c r="H300" s="5">
        <v>2</v>
      </c>
      <c r="I300" s="131">
        <v>0.1</v>
      </c>
      <c r="J300" s="5">
        <v>0</v>
      </c>
      <c r="K300" s="5">
        <f t="shared" si="26"/>
        <v>6.1</v>
      </c>
    </row>
    <row r="301" spans="1:11" ht="16.5" customHeight="1">
      <c r="A301" s="172">
        <v>298</v>
      </c>
      <c r="B301" s="108" t="s">
        <v>733</v>
      </c>
      <c r="C301" s="5" t="s">
        <v>300</v>
      </c>
      <c r="D301" s="5"/>
      <c r="E301" s="107" t="s">
        <v>229</v>
      </c>
      <c r="F301" s="5">
        <v>3</v>
      </c>
      <c r="G301" s="5">
        <v>0.5</v>
      </c>
      <c r="H301" s="5">
        <v>0</v>
      </c>
      <c r="I301" s="131">
        <v>0.1</v>
      </c>
      <c r="J301" s="5">
        <v>0</v>
      </c>
      <c r="K301" s="5">
        <f t="shared" ref="K301" si="27">SUM(F301:J301)</f>
        <v>3.6</v>
      </c>
    </row>
    <row r="302" spans="1:11" ht="16.5" customHeight="1">
      <c r="A302" s="172">
        <v>299</v>
      </c>
      <c r="B302" s="126" t="s">
        <v>734</v>
      </c>
      <c r="C302" s="5" t="s">
        <v>340</v>
      </c>
      <c r="D302" s="5"/>
      <c r="E302" s="107" t="s">
        <v>229</v>
      </c>
      <c r="F302" s="5">
        <v>2</v>
      </c>
      <c r="G302" s="5">
        <v>4</v>
      </c>
      <c r="H302" s="5"/>
      <c r="I302" s="131">
        <v>0.1</v>
      </c>
      <c r="J302" s="5">
        <v>0</v>
      </c>
      <c r="K302" s="5">
        <f t="shared" ref="K302:K304" si="28">SUM(F302:J302)</f>
        <v>6.1</v>
      </c>
    </row>
    <row r="303" spans="1:11" ht="16.5" customHeight="1">
      <c r="A303" s="172">
        <v>300</v>
      </c>
      <c r="B303" s="108" t="s">
        <v>735</v>
      </c>
      <c r="C303" s="5" t="s">
        <v>300</v>
      </c>
      <c r="D303" s="5"/>
      <c r="E303" s="107" t="s">
        <v>229</v>
      </c>
      <c r="F303" s="5">
        <v>2</v>
      </c>
      <c r="G303" s="5">
        <v>2</v>
      </c>
      <c r="H303" s="5">
        <v>2</v>
      </c>
      <c r="I303" s="131">
        <v>0.1</v>
      </c>
      <c r="J303" s="5">
        <v>0</v>
      </c>
      <c r="K303" s="5">
        <f t="shared" si="28"/>
        <v>6.1</v>
      </c>
    </row>
    <row r="304" spans="1:11" ht="16.5" customHeight="1">
      <c r="A304" s="172">
        <v>301</v>
      </c>
      <c r="B304" s="108" t="s">
        <v>736</v>
      </c>
      <c r="C304" s="5" t="s">
        <v>300</v>
      </c>
      <c r="D304" s="5"/>
      <c r="E304" s="107" t="s">
        <v>229</v>
      </c>
      <c r="F304" s="5">
        <v>2</v>
      </c>
      <c r="G304" s="5">
        <v>2</v>
      </c>
      <c r="H304" s="5">
        <v>2</v>
      </c>
      <c r="I304" s="131">
        <v>0.1</v>
      </c>
      <c r="J304" s="5">
        <v>0</v>
      </c>
      <c r="K304" s="5">
        <f t="shared" si="28"/>
        <v>6.1</v>
      </c>
    </row>
    <row r="305" spans="1:11" ht="16.5" customHeight="1">
      <c r="A305" s="172">
        <v>302</v>
      </c>
      <c r="B305" s="127" t="s">
        <v>737</v>
      </c>
      <c r="C305" s="5" t="s">
        <v>228</v>
      </c>
      <c r="D305" s="5">
        <v>8</v>
      </c>
      <c r="E305" s="107" t="s">
        <v>229</v>
      </c>
      <c r="F305" s="5">
        <v>8</v>
      </c>
      <c r="G305" s="5">
        <v>2</v>
      </c>
      <c r="H305" s="5">
        <v>1</v>
      </c>
      <c r="I305" s="121">
        <v>0.4</v>
      </c>
      <c r="J305" s="5">
        <v>7</v>
      </c>
      <c r="K305" s="5">
        <f t="shared" ref="K305:K306" si="29">SUM(F305:J305)</f>
        <v>18.399999999999999</v>
      </c>
    </row>
    <row r="306" spans="1:11" ht="16.5" customHeight="1">
      <c r="A306" s="172">
        <v>303</v>
      </c>
      <c r="B306" s="125" t="s">
        <v>738</v>
      </c>
      <c r="C306" s="5" t="s">
        <v>300</v>
      </c>
      <c r="D306" s="5"/>
      <c r="E306" s="107" t="s">
        <v>229</v>
      </c>
      <c r="F306" s="5">
        <v>3</v>
      </c>
      <c r="G306" s="5">
        <v>0.5</v>
      </c>
      <c r="H306" s="5">
        <v>0.1</v>
      </c>
      <c r="I306" s="131">
        <v>0.1</v>
      </c>
      <c r="J306" s="5">
        <v>0</v>
      </c>
      <c r="K306" s="5">
        <f t="shared" si="29"/>
        <v>3.7</v>
      </c>
    </row>
    <row r="307" spans="1:11" ht="16.5" customHeight="1">
      <c r="A307" s="172">
        <v>304</v>
      </c>
      <c r="B307" s="123" t="s">
        <v>739</v>
      </c>
      <c r="C307" s="5" t="s">
        <v>228</v>
      </c>
      <c r="D307" s="5">
        <v>30</v>
      </c>
      <c r="E307" s="107" t="s">
        <v>229</v>
      </c>
      <c r="F307" s="121">
        <v>30</v>
      </c>
      <c r="G307" s="121">
        <v>18</v>
      </c>
      <c r="H307" s="121">
        <v>6</v>
      </c>
      <c r="I307" s="121">
        <v>0.6</v>
      </c>
      <c r="J307" s="121">
        <v>3</v>
      </c>
      <c r="K307" s="121">
        <f t="shared" ref="K307:K309" si="30">SUM(F307:J307)</f>
        <v>57.6</v>
      </c>
    </row>
    <row r="308" spans="1:11" ht="16.5" customHeight="1">
      <c r="A308" s="172">
        <v>305</v>
      </c>
      <c r="B308" s="166" t="s">
        <v>809</v>
      </c>
      <c r="C308" s="5" t="s">
        <v>300</v>
      </c>
      <c r="D308" s="5"/>
      <c r="E308" s="168" t="s">
        <v>229</v>
      </c>
      <c r="F308" s="5">
        <v>3</v>
      </c>
      <c r="G308" s="5">
        <v>0.5</v>
      </c>
      <c r="H308" s="5">
        <v>0.1</v>
      </c>
      <c r="I308" s="168">
        <v>0.1</v>
      </c>
      <c r="J308" s="5">
        <v>0</v>
      </c>
      <c r="K308" s="5">
        <f t="shared" si="30"/>
        <v>3.7</v>
      </c>
    </row>
    <row r="309" spans="1:11" ht="16.5" customHeight="1">
      <c r="A309" s="172">
        <v>306</v>
      </c>
      <c r="B309" s="108" t="s">
        <v>740</v>
      </c>
      <c r="C309" s="5" t="s">
        <v>228</v>
      </c>
      <c r="D309" s="5">
        <v>30</v>
      </c>
      <c r="E309" s="107" t="s">
        <v>229</v>
      </c>
      <c r="F309" s="121">
        <v>30</v>
      </c>
      <c r="G309" s="121">
        <v>18</v>
      </c>
      <c r="H309" s="121">
        <v>4</v>
      </c>
      <c r="I309" s="121">
        <v>0.5</v>
      </c>
      <c r="J309" s="121">
        <v>3</v>
      </c>
      <c r="K309" s="121">
        <f t="shared" si="30"/>
        <v>55.5</v>
      </c>
    </row>
    <row r="310" spans="1:11" ht="16.5" customHeight="1">
      <c r="A310" s="172">
        <v>307</v>
      </c>
      <c r="B310" s="108" t="s">
        <v>741</v>
      </c>
      <c r="C310" s="5" t="s">
        <v>228</v>
      </c>
      <c r="D310" s="5">
        <v>12</v>
      </c>
      <c r="E310" s="107" t="s">
        <v>229</v>
      </c>
      <c r="F310" s="121">
        <v>6</v>
      </c>
      <c r="G310" s="121">
        <v>8</v>
      </c>
      <c r="H310" s="121">
        <v>5</v>
      </c>
      <c r="I310" s="121">
        <v>0.2</v>
      </c>
      <c r="J310" s="121">
        <v>0</v>
      </c>
      <c r="K310" s="121">
        <f t="shared" ref="K310:K312" si="31">SUM(F310:J310)</f>
        <v>19.2</v>
      </c>
    </row>
    <row r="311" spans="1:11" ht="16.5" customHeight="1">
      <c r="A311" s="172">
        <v>308</v>
      </c>
      <c r="B311" s="125" t="s">
        <v>742</v>
      </c>
      <c r="C311" s="5" t="s">
        <v>340</v>
      </c>
      <c r="D311" s="5"/>
      <c r="E311" s="107" t="s">
        <v>229</v>
      </c>
      <c r="F311" s="5">
        <v>2</v>
      </c>
      <c r="G311" s="5">
        <v>3</v>
      </c>
      <c r="H311" s="5"/>
      <c r="I311" s="131">
        <v>0.1</v>
      </c>
      <c r="J311" s="5">
        <v>0</v>
      </c>
      <c r="K311" s="5">
        <f t="shared" si="31"/>
        <v>5.0999999999999996</v>
      </c>
    </row>
    <row r="312" spans="1:11" ht="16.5" customHeight="1">
      <c r="A312" s="172">
        <v>309</v>
      </c>
      <c r="B312" s="127" t="s">
        <v>743</v>
      </c>
      <c r="C312" s="5" t="s">
        <v>300</v>
      </c>
      <c r="D312" s="5"/>
      <c r="E312" s="107" t="s">
        <v>229</v>
      </c>
      <c r="F312" s="5">
        <v>2</v>
      </c>
      <c r="G312" s="5">
        <v>2</v>
      </c>
      <c r="H312" s="5">
        <v>2</v>
      </c>
      <c r="I312" s="131">
        <v>1</v>
      </c>
      <c r="J312" s="5">
        <v>0</v>
      </c>
      <c r="K312" s="5">
        <f t="shared" si="31"/>
        <v>7</v>
      </c>
    </row>
    <row r="313" spans="1:11" ht="16.5" customHeight="1">
      <c r="A313" s="172">
        <v>310</v>
      </c>
      <c r="B313" s="108" t="s">
        <v>744</v>
      </c>
      <c r="C313" s="5" t="s">
        <v>300</v>
      </c>
      <c r="D313" s="5"/>
      <c r="E313" s="107" t="s">
        <v>229</v>
      </c>
      <c r="F313" s="5">
        <v>3</v>
      </c>
      <c r="G313" s="5">
        <v>0.5</v>
      </c>
      <c r="H313" s="5">
        <v>0.1</v>
      </c>
      <c r="I313" s="131">
        <v>0.1</v>
      </c>
      <c r="J313" s="5">
        <v>0</v>
      </c>
      <c r="K313" s="5">
        <f t="shared" ref="K313:K314" si="32">SUM(F313:J313)</f>
        <v>3.7</v>
      </c>
    </row>
    <row r="314" spans="1:11" ht="16.5" customHeight="1">
      <c r="A314" s="172">
        <v>311</v>
      </c>
      <c r="B314" s="166" t="s">
        <v>789</v>
      </c>
      <c r="C314" s="5" t="s">
        <v>228</v>
      </c>
      <c r="D314" s="5">
        <v>100</v>
      </c>
      <c r="E314" s="162" t="s">
        <v>229</v>
      </c>
      <c r="F314" s="162">
        <v>96</v>
      </c>
      <c r="G314" s="162">
        <v>48</v>
      </c>
      <c r="H314" s="162">
        <v>8</v>
      </c>
      <c r="I314" s="162">
        <v>0.9</v>
      </c>
      <c r="J314" s="162">
        <v>0</v>
      </c>
      <c r="K314" s="162">
        <f t="shared" si="32"/>
        <v>152.9</v>
      </c>
    </row>
    <row r="315" spans="1:11" ht="16.5" customHeight="1">
      <c r="A315" s="172">
        <v>312</v>
      </c>
      <c r="B315" s="127" t="s">
        <v>745</v>
      </c>
      <c r="C315" s="5" t="s">
        <v>228</v>
      </c>
      <c r="D315" s="5">
        <v>29</v>
      </c>
      <c r="E315" s="107" t="s">
        <v>229</v>
      </c>
      <c r="F315" s="121">
        <v>30</v>
      </c>
      <c r="G315" s="121">
        <v>18</v>
      </c>
      <c r="H315" s="121">
        <v>6</v>
      </c>
      <c r="I315" s="131">
        <v>0.6</v>
      </c>
      <c r="J315" s="121">
        <v>3</v>
      </c>
      <c r="K315" s="121">
        <f t="shared" ref="K315:K320" si="33">SUM(F315:J315)</f>
        <v>57.6</v>
      </c>
    </row>
    <row r="316" spans="1:11" ht="16.5" customHeight="1">
      <c r="A316" s="172">
        <v>313</v>
      </c>
      <c r="B316" s="166" t="s">
        <v>808</v>
      </c>
      <c r="C316" s="5" t="s">
        <v>300</v>
      </c>
      <c r="D316" s="5"/>
      <c r="E316" s="168" t="s">
        <v>229</v>
      </c>
      <c r="F316" s="5">
        <v>3</v>
      </c>
      <c r="G316" s="5">
        <v>0.5</v>
      </c>
      <c r="H316" s="5">
        <v>0.1</v>
      </c>
      <c r="I316" s="168">
        <v>0.1</v>
      </c>
      <c r="J316" s="5">
        <v>0</v>
      </c>
      <c r="K316" s="5">
        <f t="shared" si="33"/>
        <v>3.7</v>
      </c>
    </row>
    <row r="317" spans="1:11" ht="16.5" customHeight="1">
      <c r="A317" s="172">
        <v>314</v>
      </c>
      <c r="B317" s="166" t="s">
        <v>800</v>
      </c>
      <c r="C317" s="5" t="s">
        <v>300</v>
      </c>
      <c r="D317" s="5"/>
      <c r="E317" s="167" t="s">
        <v>229</v>
      </c>
      <c r="F317" s="5">
        <v>3</v>
      </c>
      <c r="G317" s="5">
        <v>0.5</v>
      </c>
      <c r="H317" s="5">
        <v>0.1</v>
      </c>
      <c r="I317" s="164">
        <v>0.1</v>
      </c>
      <c r="J317" s="5">
        <v>0</v>
      </c>
      <c r="K317" s="5">
        <f t="shared" si="33"/>
        <v>3.7</v>
      </c>
    </row>
    <row r="318" spans="1:11" ht="16.5" customHeight="1">
      <c r="A318" s="172">
        <v>315</v>
      </c>
      <c r="B318" s="166" t="s">
        <v>655</v>
      </c>
      <c r="C318" s="5" t="s">
        <v>300</v>
      </c>
      <c r="D318" s="5"/>
      <c r="E318" s="167" t="s">
        <v>229</v>
      </c>
      <c r="F318" s="5">
        <v>2</v>
      </c>
      <c r="G318" s="5">
        <v>2</v>
      </c>
      <c r="H318" s="5">
        <v>2</v>
      </c>
      <c r="I318" s="164">
        <v>0.1</v>
      </c>
      <c r="J318" s="5">
        <v>0</v>
      </c>
      <c r="K318" s="5">
        <f t="shared" si="33"/>
        <v>6.1</v>
      </c>
    </row>
    <row r="319" spans="1:11" ht="16.5" customHeight="1">
      <c r="A319" s="172">
        <v>316</v>
      </c>
      <c r="B319" s="166" t="s">
        <v>807</v>
      </c>
      <c r="C319" s="5" t="s">
        <v>340</v>
      </c>
      <c r="D319" s="5"/>
      <c r="E319" s="167" t="s">
        <v>229</v>
      </c>
      <c r="F319" s="5">
        <v>2</v>
      </c>
      <c r="G319" s="5">
        <v>4</v>
      </c>
      <c r="H319" s="5"/>
      <c r="I319" s="167">
        <v>1</v>
      </c>
      <c r="J319" s="5">
        <v>0</v>
      </c>
      <c r="K319" s="5">
        <f t="shared" si="33"/>
        <v>7</v>
      </c>
    </row>
    <row r="320" spans="1:11" ht="16.5" customHeight="1">
      <c r="A320" s="172">
        <v>317</v>
      </c>
      <c r="B320" s="108" t="s">
        <v>746</v>
      </c>
      <c r="C320" s="5" t="s">
        <v>309</v>
      </c>
      <c r="D320" s="5"/>
      <c r="E320" s="107" t="s">
        <v>229</v>
      </c>
      <c r="F320" s="5">
        <v>3</v>
      </c>
      <c r="G320" s="5">
        <v>0.5</v>
      </c>
      <c r="H320" s="5">
        <v>0.3</v>
      </c>
      <c r="I320" s="131">
        <v>0.1</v>
      </c>
      <c r="J320" s="5">
        <v>0</v>
      </c>
      <c r="K320" s="5">
        <f t="shared" si="33"/>
        <v>3.9</v>
      </c>
    </row>
    <row r="321" spans="1:11" ht="16.5" customHeight="1">
      <c r="A321" s="172">
        <v>318</v>
      </c>
      <c r="B321" s="166" t="s">
        <v>810</v>
      </c>
      <c r="C321" s="5" t="s">
        <v>340</v>
      </c>
      <c r="D321" s="5"/>
      <c r="E321" s="168" t="s">
        <v>229</v>
      </c>
      <c r="F321" s="5">
        <v>3</v>
      </c>
      <c r="G321" s="5">
        <v>0.5</v>
      </c>
      <c r="H321" s="5">
        <v>0.1</v>
      </c>
      <c r="I321" s="168">
        <v>0.1</v>
      </c>
      <c r="J321" s="5">
        <v>0</v>
      </c>
      <c r="K321" s="5">
        <f t="shared" ref="K321" si="34">SUM(F321:J321)</f>
        <v>3.7</v>
      </c>
    </row>
    <row r="322" spans="1:11" ht="16.5" customHeight="1">
      <c r="A322" s="172">
        <v>319</v>
      </c>
      <c r="B322" s="108" t="s">
        <v>747</v>
      </c>
      <c r="C322" s="5" t="s">
        <v>309</v>
      </c>
      <c r="D322" s="5"/>
      <c r="E322" s="107" t="s">
        <v>229</v>
      </c>
      <c r="F322" s="5">
        <v>2</v>
      </c>
      <c r="G322" s="5">
        <v>0.5</v>
      </c>
      <c r="H322" s="5">
        <v>0.3</v>
      </c>
      <c r="I322" s="131">
        <v>0.1</v>
      </c>
      <c r="J322" s="5">
        <v>0</v>
      </c>
      <c r="K322" s="5">
        <f t="shared" ref="K322:K324" si="35">SUM(F322:J322)</f>
        <v>2.9</v>
      </c>
    </row>
    <row r="323" spans="1:11" ht="16.5" customHeight="1">
      <c r="A323" s="172">
        <v>320</v>
      </c>
      <c r="B323" s="108" t="s">
        <v>748</v>
      </c>
      <c r="C323" s="5" t="s">
        <v>309</v>
      </c>
      <c r="D323" s="5"/>
      <c r="E323" s="107" t="s">
        <v>229</v>
      </c>
      <c r="F323" s="5">
        <v>3</v>
      </c>
      <c r="G323" s="5">
        <v>0.5</v>
      </c>
      <c r="H323" s="5">
        <v>0.8</v>
      </c>
      <c r="I323" s="131">
        <v>0.1</v>
      </c>
      <c r="J323" s="5">
        <v>0</v>
      </c>
      <c r="K323" s="5">
        <f t="shared" si="35"/>
        <v>4.3999999999999995</v>
      </c>
    </row>
    <row r="324" spans="1:11" ht="16.5" customHeight="1">
      <c r="A324" s="172">
        <v>321</v>
      </c>
      <c r="B324" s="166" t="s">
        <v>806</v>
      </c>
      <c r="C324" s="5" t="s">
        <v>228</v>
      </c>
      <c r="D324" s="5">
        <v>5</v>
      </c>
      <c r="E324" s="167" t="s">
        <v>229</v>
      </c>
      <c r="F324" s="5">
        <v>8</v>
      </c>
      <c r="G324" s="5">
        <v>2</v>
      </c>
      <c r="H324" s="5">
        <v>1</v>
      </c>
      <c r="I324" s="167">
        <v>0.2</v>
      </c>
      <c r="J324" s="5">
        <v>8</v>
      </c>
      <c r="K324" s="5">
        <f t="shared" si="35"/>
        <v>19.2</v>
      </c>
    </row>
    <row r="325" spans="1:11" ht="16.5" customHeight="1">
      <c r="A325" s="172">
        <v>322</v>
      </c>
      <c r="B325" s="108" t="s">
        <v>749</v>
      </c>
      <c r="C325" s="5" t="s">
        <v>228</v>
      </c>
      <c r="D325" s="5">
        <v>5</v>
      </c>
      <c r="E325" s="107" t="s">
        <v>229</v>
      </c>
      <c r="F325" s="5">
        <v>8</v>
      </c>
      <c r="G325" s="5">
        <v>2</v>
      </c>
      <c r="H325" s="5">
        <v>1</v>
      </c>
      <c r="I325" s="121">
        <v>0.2</v>
      </c>
      <c r="J325" s="5">
        <v>8</v>
      </c>
      <c r="K325" s="5">
        <f t="shared" ref="K325:K327" si="36">SUM(F325:J325)</f>
        <v>19.2</v>
      </c>
    </row>
    <row r="326" spans="1:11" ht="16.5" customHeight="1">
      <c r="A326" s="172">
        <v>323</v>
      </c>
      <c r="B326" s="166" t="s">
        <v>792</v>
      </c>
      <c r="C326" s="5" t="s">
        <v>300</v>
      </c>
      <c r="D326" s="5"/>
      <c r="E326" s="162" t="s">
        <v>229</v>
      </c>
      <c r="F326" s="5">
        <v>3</v>
      </c>
      <c r="G326" s="5">
        <v>0.5</v>
      </c>
      <c r="H326" s="5">
        <v>0.1</v>
      </c>
      <c r="I326" s="162">
        <v>0.1</v>
      </c>
      <c r="J326" s="5">
        <v>0</v>
      </c>
      <c r="K326" s="5">
        <f t="shared" si="36"/>
        <v>3.7</v>
      </c>
    </row>
    <row r="327" spans="1:11" ht="16.5" customHeight="1">
      <c r="A327" s="172">
        <v>324</v>
      </c>
      <c r="B327" s="125" t="s">
        <v>750</v>
      </c>
      <c r="C327" s="5" t="s">
        <v>300</v>
      </c>
      <c r="D327" s="5"/>
      <c r="E327" s="107" t="s">
        <v>229</v>
      </c>
      <c r="F327" s="5">
        <v>3</v>
      </c>
      <c r="G327" s="5">
        <v>0.5</v>
      </c>
      <c r="H327" s="5">
        <v>0.1</v>
      </c>
      <c r="I327" s="131">
        <v>0.1</v>
      </c>
      <c r="J327" s="5">
        <v>0</v>
      </c>
      <c r="K327" s="5">
        <f t="shared" si="36"/>
        <v>3.7</v>
      </c>
    </row>
    <row r="328" spans="1:11" ht="16.5" customHeight="1">
      <c r="A328" s="172">
        <v>325</v>
      </c>
      <c r="B328" s="128" t="s">
        <v>751</v>
      </c>
      <c r="C328" s="5" t="s">
        <v>228</v>
      </c>
      <c r="D328" s="5">
        <v>30</v>
      </c>
      <c r="E328" s="107" t="s">
        <v>229</v>
      </c>
      <c r="F328" s="121">
        <v>30</v>
      </c>
      <c r="G328" s="121">
        <v>18</v>
      </c>
      <c r="H328" s="121">
        <v>5</v>
      </c>
      <c r="I328" s="121">
        <v>0.5</v>
      </c>
      <c r="J328" s="121">
        <v>3</v>
      </c>
      <c r="K328" s="121">
        <f t="shared" ref="K328:K330" si="37">SUM(F328:J328)</f>
        <v>56.5</v>
      </c>
    </row>
    <row r="329" spans="1:11" ht="16.5" customHeight="1">
      <c r="A329" s="172">
        <v>326</v>
      </c>
      <c r="B329" s="123" t="s">
        <v>752</v>
      </c>
      <c r="C329" s="5" t="s">
        <v>228</v>
      </c>
      <c r="D329" s="5">
        <v>30</v>
      </c>
      <c r="E329" s="107" t="s">
        <v>229</v>
      </c>
      <c r="F329" s="121">
        <v>28</v>
      </c>
      <c r="G329" s="121">
        <v>18</v>
      </c>
      <c r="H329" s="121">
        <v>5</v>
      </c>
      <c r="I329" s="121">
        <v>0.5</v>
      </c>
      <c r="J329" s="121">
        <v>3</v>
      </c>
      <c r="K329" s="121">
        <f t="shared" si="37"/>
        <v>54.5</v>
      </c>
    </row>
    <row r="330" spans="1:11" ht="16.5" customHeight="1">
      <c r="A330" s="172">
        <v>327</v>
      </c>
      <c r="B330" s="123" t="s">
        <v>753</v>
      </c>
      <c r="C330" s="5" t="s">
        <v>228</v>
      </c>
      <c r="D330" s="5">
        <v>100</v>
      </c>
      <c r="E330" s="107" t="s">
        <v>229</v>
      </c>
      <c r="F330" s="121">
        <v>96</v>
      </c>
      <c r="G330" s="121">
        <v>48</v>
      </c>
      <c r="H330" s="121">
        <v>12</v>
      </c>
      <c r="I330" s="131">
        <v>0.9</v>
      </c>
      <c r="J330" s="121">
        <v>0</v>
      </c>
      <c r="K330" s="121">
        <f t="shared" si="37"/>
        <v>156.9</v>
      </c>
    </row>
    <row r="331" spans="1:11" ht="16.5" customHeight="1">
      <c r="A331" s="172">
        <v>328</v>
      </c>
      <c r="B331" s="127" t="s">
        <v>754</v>
      </c>
      <c r="C331" s="5" t="s">
        <v>228</v>
      </c>
      <c r="D331" s="5">
        <v>10</v>
      </c>
      <c r="E331" s="107" t="s">
        <v>229</v>
      </c>
      <c r="F331" s="121">
        <v>6</v>
      </c>
      <c r="G331" s="121">
        <v>8</v>
      </c>
      <c r="H331" s="121">
        <v>5</v>
      </c>
      <c r="I331" s="121">
        <v>0.4</v>
      </c>
      <c r="J331" s="121">
        <v>0</v>
      </c>
      <c r="K331" s="121">
        <f t="shared" ref="K331:K334" si="38">SUM(F331:J331)</f>
        <v>19.399999999999999</v>
      </c>
    </row>
    <row r="332" spans="1:11" ht="16.5" customHeight="1">
      <c r="A332" s="172">
        <v>329</v>
      </c>
      <c r="B332" s="166" t="s">
        <v>805</v>
      </c>
      <c r="C332" s="5" t="s">
        <v>228</v>
      </c>
      <c r="D332" s="5">
        <v>30</v>
      </c>
      <c r="E332" s="167" t="s">
        <v>229</v>
      </c>
      <c r="F332" s="167">
        <v>28</v>
      </c>
      <c r="G332" s="167">
        <v>18</v>
      </c>
      <c r="H332" s="167">
        <v>11</v>
      </c>
      <c r="I332" s="167">
        <v>0.6</v>
      </c>
      <c r="J332" s="167">
        <v>3</v>
      </c>
      <c r="K332" s="167">
        <f t="shared" si="38"/>
        <v>60.6</v>
      </c>
    </row>
    <row r="333" spans="1:11" ht="16.5" customHeight="1">
      <c r="A333" s="172">
        <v>330</v>
      </c>
      <c r="B333" s="108" t="s">
        <v>755</v>
      </c>
      <c r="C333" s="5" t="s">
        <v>228</v>
      </c>
      <c r="D333" s="5">
        <v>10</v>
      </c>
      <c r="E333" s="107" t="s">
        <v>229</v>
      </c>
      <c r="F333" s="121">
        <v>6</v>
      </c>
      <c r="G333" s="121">
        <v>8</v>
      </c>
      <c r="H333" s="121">
        <v>5</v>
      </c>
      <c r="I333" s="121">
        <v>0.2</v>
      </c>
      <c r="J333" s="121">
        <v>0</v>
      </c>
      <c r="K333" s="121">
        <f t="shared" si="38"/>
        <v>19.2</v>
      </c>
    </row>
    <row r="334" spans="1:11" ht="16.5" customHeight="1">
      <c r="A334" s="172">
        <v>331</v>
      </c>
      <c r="B334" s="108" t="s">
        <v>756</v>
      </c>
      <c r="C334" s="5" t="s">
        <v>300</v>
      </c>
      <c r="D334" s="5"/>
      <c r="E334" s="107" t="s">
        <v>229</v>
      </c>
      <c r="F334" s="5">
        <v>2</v>
      </c>
      <c r="G334" s="5">
        <v>2</v>
      </c>
      <c r="H334" s="5">
        <v>2</v>
      </c>
      <c r="I334" s="131">
        <v>0.1</v>
      </c>
      <c r="J334" s="5">
        <v>0</v>
      </c>
      <c r="K334" s="5">
        <f t="shared" si="38"/>
        <v>6.1</v>
      </c>
    </row>
    <row r="335" spans="1:11" ht="16.5" customHeight="1">
      <c r="A335" s="172">
        <v>332</v>
      </c>
      <c r="B335" s="127" t="s">
        <v>757</v>
      </c>
      <c r="C335" s="5" t="s">
        <v>309</v>
      </c>
      <c r="D335" s="5"/>
      <c r="E335" s="107" t="s">
        <v>229</v>
      </c>
      <c r="F335" s="5">
        <v>2</v>
      </c>
      <c r="G335" s="5">
        <v>0.5</v>
      </c>
      <c r="H335" s="5">
        <v>0.3</v>
      </c>
      <c r="I335" s="131">
        <v>0.1</v>
      </c>
      <c r="J335" s="5">
        <v>0</v>
      </c>
      <c r="K335" s="5">
        <f t="shared" ref="K335" si="39">SUM(F335:J335)</f>
        <v>2.9</v>
      </c>
    </row>
    <row r="336" spans="1:11" ht="16.5" customHeight="1">
      <c r="A336" s="172">
        <v>333</v>
      </c>
      <c r="B336" s="108" t="s">
        <v>758</v>
      </c>
      <c r="C336" s="5" t="s">
        <v>300</v>
      </c>
      <c r="D336" s="5"/>
      <c r="E336" s="107" t="s">
        <v>229</v>
      </c>
      <c r="F336" s="5">
        <v>3</v>
      </c>
      <c r="G336" s="5">
        <v>0.5</v>
      </c>
      <c r="H336" s="5">
        <v>0.1</v>
      </c>
      <c r="I336" s="131">
        <v>0.1</v>
      </c>
      <c r="J336" s="5">
        <v>0</v>
      </c>
      <c r="K336" s="5">
        <f t="shared" ref="K336:K337" si="40">SUM(F336:J336)</f>
        <v>3.7</v>
      </c>
    </row>
    <row r="337" spans="1:11" ht="16.5" customHeight="1">
      <c r="A337" s="172">
        <v>334</v>
      </c>
      <c r="B337" s="127" t="s">
        <v>759</v>
      </c>
      <c r="C337" s="5" t="s">
        <v>300</v>
      </c>
      <c r="D337" s="5"/>
      <c r="E337" s="107" t="s">
        <v>229</v>
      </c>
      <c r="F337" s="5">
        <v>2</v>
      </c>
      <c r="G337" s="5">
        <v>2</v>
      </c>
      <c r="H337" s="5">
        <v>2</v>
      </c>
      <c r="I337" s="131">
        <v>0.1</v>
      </c>
      <c r="J337" s="5">
        <v>0</v>
      </c>
      <c r="K337" s="5">
        <f t="shared" si="40"/>
        <v>6.1</v>
      </c>
    </row>
    <row r="338" spans="1:11" ht="16.5" customHeight="1">
      <c r="A338" s="172">
        <v>335</v>
      </c>
      <c r="B338" s="127" t="s">
        <v>760</v>
      </c>
      <c r="C338" s="5" t="s">
        <v>228</v>
      </c>
      <c r="D338" s="5">
        <v>12</v>
      </c>
      <c r="E338" s="107" t="s">
        <v>229</v>
      </c>
      <c r="F338" s="121">
        <v>6</v>
      </c>
      <c r="G338" s="121">
        <v>8</v>
      </c>
      <c r="H338" s="121">
        <v>5</v>
      </c>
      <c r="I338" s="121">
        <v>0.2</v>
      </c>
      <c r="J338" s="121">
        <v>0</v>
      </c>
      <c r="K338" s="121">
        <f t="shared" ref="K338:K340" si="41">SUM(F338:J338)</f>
        <v>19.2</v>
      </c>
    </row>
    <row r="339" spans="1:11" ht="16.5" customHeight="1">
      <c r="A339" s="172">
        <v>336</v>
      </c>
      <c r="B339" s="123" t="s">
        <v>761</v>
      </c>
      <c r="C339" s="5" t="s">
        <v>228</v>
      </c>
      <c r="D339" s="5">
        <v>100</v>
      </c>
      <c r="E339" s="107" t="s">
        <v>229</v>
      </c>
      <c r="F339" s="121">
        <v>84</v>
      </c>
      <c r="G339" s="121">
        <v>43</v>
      </c>
      <c r="H339" s="121">
        <v>41</v>
      </c>
      <c r="I339" s="121">
        <v>0.9</v>
      </c>
      <c r="J339" s="121">
        <v>0</v>
      </c>
      <c r="K339" s="121">
        <f t="shared" si="41"/>
        <v>168.9</v>
      </c>
    </row>
    <row r="340" spans="1:11" ht="16.5" customHeight="1">
      <c r="A340" s="172">
        <v>337</v>
      </c>
      <c r="B340" s="123" t="s">
        <v>762</v>
      </c>
      <c r="C340" s="5" t="s">
        <v>309</v>
      </c>
      <c r="D340" s="5"/>
      <c r="E340" s="107" t="s">
        <v>229</v>
      </c>
      <c r="F340" s="5">
        <v>3</v>
      </c>
      <c r="G340" s="5">
        <v>0.5</v>
      </c>
      <c r="H340" s="5">
        <v>0.3</v>
      </c>
      <c r="I340" s="131">
        <v>0.1</v>
      </c>
      <c r="J340" s="5">
        <v>0</v>
      </c>
      <c r="K340" s="5">
        <f t="shared" si="41"/>
        <v>3.9</v>
      </c>
    </row>
    <row r="341" spans="1:11" ht="16.5" customHeight="1">
      <c r="A341" s="172">
        <v>338</v>
      </c>
      <c r="B341" s="123" t="s">
        <v>763</v>
      </c>
      <c r="C341" s="5" t="s">
        <v>228</v>
      </c>
      <c r="D341" s="5">
        <v>30</v>
      </c>
      <c r="E341" s="107" t="s">
        <v>229</v>
      </c>
      <c r="F341" s="121">
        <v>28</v>
      </c>
      <c r="G341" s="121">
        <v>12</v>
      </c>
      <c r="H341" s="121">
        <v>23</v>
      </c>
      <c r="I341" s="121">
        <v>0.5</v>
      </c>
      <c r="J341" s="121">
        <v>3</v>
      </c>
      <c r="K341" s="121">
        <f t="shared" ref="K341" si="42">SUM(F341:J341)</f>
        <v>66.5</v>
      </c>
    </row>
    <row r="342" spans="1:11" ht="16.5" customHeight="1">
      <c r="A342" s="172">
        <v>339</v>
      </c>
      <c r="B342" s="127" t="s">
        <v>645</v>
      </c>
      <c r="C342" s="5" t="s">
        <v>228</v>
      </c>
      <c r="D342" s="5">
        <v>5</v>
      </c>
      <c r="E342" s="107" t="s">
        <v>229</v>
      </c>
      <c r="F342" s="5">
        <v>8</v>
      </c>
      <c r="G342" s="5">
        <v>2</v>
      </c>
      <c r="H342" s="5">
        <v>1</v>
      </c>
      <c r="I342" s="121">
        <v>0.1</v>
      </c>
      <c r="J342" s="5">
        <v>6</v>
      </c>
      <c r="K342" s="5">
        <f t="shared" ref="K342:K343" si="43">SUM(F342:J342)</f>
        <v>17.100000000000001</v>
      </c>
    </row>
    <row r="343" spans="1:11" ht="16.5" customHeight="1">
      <c r="A343" s="172">
        <v>340</v>
      </c>
      <c r="B343" s="127" t="s">
        <v>764</v>
      </c>
      <c r="C343" s="5" t="s">
        <v>300</v>
      </c>
      <c r="D343" s="5"/>
      <c r="E343" s="107" t="s">
        <v>229</v>
      </c>
      <c r="F343" s="5">
        <v>2</v>
      </c>
      <c r="G343" s="5">
        <v>1</v>
      </c>
      <c r="H343" s="5">
        <v>2</v>
      </c>
      <c r="I343" s="173">
        <v>0.1</v>
      </c>
      <c r="J343" s="5">
        <v>0</v>
      </c>
      <c r="K343" s="5">
        <f t="shared" si="43"/>
        <v>5.0999999999999996</v>
      </c>
    </row>
    <row r="344" spans="1:11" ht="16.5" customHeight="1">
      <c r="A344" s="172">
        <v>341</v>
      </c>
      <c r="B344" s="125" t="s">
        <v>765</v>
      </c>
      <c r="C344" s="5" t="s">
        <v>309</v>
      </c>
      <c r="D344" s="5"/>
      <c r="E344" s="107" t="s">
        <v>229</v>
      </c>
      <c r="F344" s="5">
        <v>3</v>
      </c>
      <c r="G344" s="5">
        <v>0.5</v>
      </c>
      <c r="H344" s="5">
        <v>0.2</v>
      </c>
      <c r="I344" s="131">
        <v>0.1</v>
      </c>
      <c r="J344" s="5">
        <v>0</v>
      </c>
      <c r="K344" s="5">
        <f t="shared" ref="K344:K347" si="44">SUM(F344:J344)</f>
        <v>3.8000000000000003</v>
      </c>
    </row>
    <row r="345" spans="1:11" ht="16.5" customHeight="1">
      <c r="A345" s="172">
        <v>342</v>
      </c>
      <c r="B345" s="125" t="s">
        <v>766</v>
      </c>
      <c r="C345" s="5" t="s">
        <v>300</v>
      </c>
      <c r="D345" s="5"/>
      <c r="E345" s="107" t="s">
        <v>229</v>
      </c>
      <c r="F345" s="5">
        <v>2</v>
      </c>
      <c r="G345" s="5">
        <v>2</v>
      </c>
      <c r="H345" s="5">
        <v>2</v>
      </c>
      <c r="I345" s="173" t="s">
        <v>826</v>
      </c>
      <c r="J345" s="5">
        <v>0</v>
      </c>
      <c r="K345" s="5">
        <f t="shared" si="44"/>
        <v>6</v>
      </c>
    </row>
    <row r="346" spans="1:11" ht="16.5" customHeight="1">
      <c r="A346" s="172">
        <v>343</v>
      </c>
      <c r="B346" s="166" t="s">
        <v>801</v>
      </c>
      <c r="C346" s="5" t="s">
        <v>649</v>
      </c>
      <c r="D346" s="5"/>
      <c r="E346" s="164" t="s">
        <v>229</v>
      </c>
      <c r="F346" s="5">
        <v>2</v>
      </c>
      <c r="G346" s="5">
        <v>2</v>
      </c>
      <c r="H346" s="5">
        <v>2</v>
      </c>
      <c r="I346" s="164">
        <v>0.1</v>
      </c>
      <c r="J346" s="5">
        <v>0</v>
      </c>
      <c r="K346" s="5">
        <f t="shared" ref="K346" si="45">SUM(F346:J346)</f>
        <v>6.1</v>
      </c>
    </row>
    <row r="347" spans="1:11" ht="16.5" customHeight="1">
      <c r="A347" s="172">
        <v>344</v>
      </c>
      <c r="B347" s="123" t="s">
        <v>712</v>
      </c>
      <c r="C347" s="5" t="s">
        <v>300</v>
      </c>
      <c r="D347" s="5"/>
      <c r="E347" s="107" t="s">
        <v>229</v>
      </c>
      <c r="F347" s="5">
        <v>2</v>
      </c>
      <c r="G347" s="5">
        <v>1</v>
      </c>
      <c r="H347" s="5">
        <v>2</v>
      </c>
      <c r="I347" s="173" t="s">
        <v>826</v>
      </c>
      <c r="J347" s="5">
        <v>0</v>
      </c>
      <c r="K347" s="5">
        <f t="shared" si="44"/>
        <v>5</v>
      </c>
    </row>
    <row r="348" spans="1:11" ht="16.5" customHeight="1">
      <c r="A348" s="172">
        <v>345</v>
      </c>
      <c r="B348" s="129" t="s">
        <v>767</v>
      </c>
      <c r="C348" s="5" t="s">
        <v>300</v>
      </c>
      <c r="D348" s="5"/>
      <c r="E348" s="107" t="s">
        <v>229</v>
      </c>
      <c r="F348" s="5">
        <v>3</v>
      </c>
      <c r="G348" s="5">
        <v>0.5</v>
      </c>
      <c r="H348" s="5">
        <v>0.1</v>
      </c>
      <c r="I348" s="131">
        <v>0.1</v>
      </c>
      <c r="J348" s="5">
        <v>0</v>
      </c>
      <c r="K348" s="5">
        <f t="shared" ref="K348:K351" si="46">SUM(F348:J348)</f>
        <v>3.7</v>
      </c>
    </row>
    <row r="349" spans="1:11" ht="16.5" customHeight="1">
      <c r="A349" s="172">
        <v>346</v>
      </c>
      <c r="B349" s="116" t="s">
        <v>768</v>
      </c>
      <c r="C349" s="5" t="s">
        <v>300</v>
      </c>
      <c r="D349" s="5"/>
      <c r="E349" s="107" t="s">
        <v>229</v>
      </c>
      <c r="F349" s="5">
        <v>3</v>
      </c>
      <c r="G349" s="5">
        <v>0.5</v>
      </c>
      <c r="H349" s="5">
        <v>0.1</v>
      </c>
      <c r="I349" s="131">
        <v>0.1</v>
      </c>
      <c r="J349" s="5">
        <v>0</v>
      </c>
      <c r="K349" s="5">
        <f t="shared" si="46"/>
        <v>3.7</v>
      </c>
    </row>
    <row r="350" spans="1:11" ht="16.5" customHeight="1">
      <c r="A350" s="172">
        <v>347</v>
      </c>
      <c r="B350" s="112" t="s">
        <v>769</v>
      </c>
      <c r="C350" s="5" t="s">
        <v>300</v>
      </c>
      <c r="D350" s="5"/>
      <c r="E350" s="107" t="s">
        <v>229</v>
      </c>
      <c r="F350" s="5">
        <v>3</v>
      </c>
      <c r="G350" s="5">
        <v>0.5</v>
      </c>
      <c r="H350" s="5">
        <v>0.1</v>
      </c>
      <c r="I350" s="131">
        <v>0.1</v>
      </c>
      <c r="J350" s="5">
        <v>0</v>
      </c>
      <c r="K350" s="5">
        <f t="shared" si="46"/>
        <v>3.7</v>
      </c>
    </row>
    <row r="351" spans="1:11" ht="16.5" customHeight="1">
      <c r="A351" s="172">
        <v>348</v>
      </c>
      <c r="B351" s="129" t="s">
        <v>770</v>
      </c>
      <c r="C351" s="5" t="s">
        <v>300</v>
      </c>
      <c r="D351" s="5"/>
      <c r="E351" s="107" t="s">
        <v>229</v>
      </c>
      <c r="F351" s="5">
        <v>2</v>
      </c>
      <c r="G351" s="5">
        <v>2</v>
      </c>
      <c r="H351" s="5">
        <v>2</v>
      </c>
      <c r="I351" s="131">
        <v>0.1</v>
      </c>
      <c r="J351" s="5">
        <v>0</v>
      </c>
      <c r="K351" s="5">
        <f t="shared" si="46"/>
        <v>6.1</v>
      </c>
    </row>
    <row r="352" spans="1:11" ht="16.5" customHeight="1">
      <c r="A352" s="172">
        <v>349</v>
      </c>
      <c r="B352" s="166" t="s">
        <v>818</v>
      </c>
      <c r="C352" s="5" t="s">
        <v>300</v>
      </c>
      <c r="D352" s="5"/>
      <c r="E352" s="171" t="s">
        <v>229</v>
      </c>
      <c r="F352" s="5">
        <v>2</v>
      </c>
      <c r="G352" s="5">
        <v>2</v>
      </c>
      <c r="H352" s="5">
        <v>2</v>
      </c>
      <c r="I352" s="171">
        <v>0.1</v>
      </c>
      <c r="J352" s="5">
        <v>0</v>
      </c>
      <c r="K352" s="5">
        <f t="shared" ref="K352" si="47">SUM(F352:J352)</f>
        <v>6.1</v>
      </c>
    </row>
    <row r="353" spans="1:16383" ht="16.5" customHeight="1">
      <c r="A353" s="121"/>
      <c r="B353" s="12"/>
      <c r="C353" s="121"/>
      <c r="D353" s="121"/>
      <c r="E353" s="121"/>
      <c r="F353" s="121"/>
      <c r="G353" s="122"/>
      <c r="H353" s="122"/>
      <c r="I353" s="122"/>
      <c r="J353" s="122"/>
      <c r="K353" s="122"/>
    </row>
    <row r="354" spans="1:16383" ht="16.5" customHeight="1">
      <c r="A354" s="15"/>
      <c r="B354" s="120" t="s">
        <v>0</v>
      </c>
      <c r="C354" s="15"/>
      <c r="D354" s="15">
        <f>SUM(D4:D353)</f>
        <v>4490</v>
      </c>
      <c r="E354" s="15"/>
      <c r="F354" s="15">
        <f>SUM(F4:F353)</f>
        <v>4908</v>
      </c>
      <c r="G354" s="15">
        <f t="shared" ref="G354:K354" si="48">SUM(G4:G353)</f>
        <v>3109.0000000000009</v>
      </c>
      <c r="H354" s="15">
        <f t="shared" si="48"/>
        <v>1105</v>
      </c>
      <c r="I354" s="15">
        <f t="shared" si="48"/>
        <v>85.769999999999911</v>
      </c>
      <c r="J354" s="15">
        <f t="shared" si="48"/>
        <v>730</v>
      </c>
      <c r="K354" s="15">
        <f t="shared" si="48"/>
        <v>9937.7700000000423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27"/>
      <c r="JB354" s="27"/>
      <c r="JC354" s="27"/>
      <c r="JD354" s="27"/>
      <c r="JE354" s="27"/>
      <c r="JF354" s="27"/>
      <c r="JG354" s="27"/>
      <c r="JH354" s="27"/>
      <c r="JI354" s="27"/>
      <c r="JJ354" s="27"/>
      <c r="JK354" s="27"/>
      <c r="JL354" s="27"/>
      <c r="JM354" s="27"/>
      <c r="JN354" s="27"/>
      <c r="JO354" s="27"/>
      <c r="JP354" s="27"/>
      <c r="JQ354" s="27"/>
      <c r="JR354" s="27"/>
      <c r="JS354" s="27"/>
      <c r="JT354" s="27"/>
      <c r="JU354" s="27"/>
      <c r="JV354" s="27"/>
      <c r="JW354" s="27"/>
      <c r="JX354" s="27"/>
      <c r="JY354" s="27"/>
      <c r="JZ354" s="27"/>
      <c r="KA354" s="27"/>
      <c r="KB354" s="27"/>
      <c r="KC354" s="27"/>
      <c r="KD354" s="27"/>
      <c r="KE354" s="27"/>
      <c r="KF354" s="27"/>
      <c r="KG354" s="27"/>
      <c r="KH354" s="27"/>
      <c r="KI354" s="27"/>
      <c r="KJ354" s="27"/>
      <c r="KK354" s="27"/>
      <c r="KL354" s="27"/>
      <c r="KM354" s="27"/>
      <c r="KN354" s="27"/>
      <c r="KO354" s="27"/>
      <c r="KP354" s="27"/>
      <c r="KQ354" s="27"/>
      <c r="KR354" s="27"/>
      <c r="KS354" s="27"/>
      <c r="KT354" s="27"/>
      <c r="KU354" s="27"/>
      <c r="KV354" s="27"/>
      <c r="KW354" s="27"/>
      <c r="KX354" s="27"/>
      <c r="KY354" s="27"/>
      <c r="KZ354" s="27"/>
      <c r="LA354" s="27"/>
      <c r="LB354" s="27"/>
      <c r="LC354" s="27"/>
      <c r="LD354" s="27"/>
      <c r="LE354" s="27"/>
      <c r="LF354" s="27"/>
      <c r="LG354" s="27"/>
      <c r="LH354" s="27"/>
      <c r="LI354" s="27"/>
      <c r="LJ354" s="27"/>
      <c r="LK354" s="27"/>
      <c r="LL354" s="27"/>
      <c r="LM354" s="27"/>
      <c r="LN354" s="27"/>
      <c r="LO354" s="27"/>
      <c r="LP354" s="27"/>
      <c r="LQ354" s="27"/>
      <c r="LR354" s="27"/>
      <c r="LS354" s="27"/>
      <c r="LT354" s="27"/>
      <c r="LU354" s="27"/>
      <c r="LV354" s="27"/>
      <c r="LW354" s="27"/>
      <c r="LX354" s="27"/>
      <c r="LY354" s="27"/>
      <c r="LZ354" s="27"/>
      <c r="MA354" s="27"/>
      <c r="MB354" s="27"/>
      <c r="MC354" s="27"/>
      <c r="MD354" s="27"/>
      <c r="ME354" s="27"/>
      <c r="MF354" s="27"/>
      <c r="MG354" s="27"/>
      <c r="MH354" s="27"/>
      <c r="MI354" s="27"/>
      <c r="MJ354" s="27"/>
      <c r="MK354" s="27"/>
      <c r="ML354" s="27"/>
      <c r="MM354" s="27"/>
      <c r="MN354" s="27"/>
      <c r="MO354" s="27"/>
      <c r="MP354" s="27"/>
      <c r="MQ354" s="27"/>
      <c r="MR354" s="27"/>
      <c r="MS354" s="27"/>
      <c r="MT354" s="27"/>
      <c r="MU354" s="27"/>
      <c r="MV354" s="27"/>
      <c r="MW354" s="27"/>
      <c r="MX354" s="27"/>
      <c r="MY354" s="27"/>
      <c r="MZ354" s="27"/>
      <c r="NA354" s="27"/>
      <c r="NB354" s="27"/>
      <c r="NC354" s="27"/>
      <c r="ND354" s="27"/>
      <c r="NE354" s="27"/>
      <c r="NF354" s="27"/>
      <c r="NG354" s="27"/>
      <c r="NH354" s="27"/>
      <c r="NI354" s="27"/>
      <c r="NJ354" s="27"/>
      <c r="NK354" s="27"/>
      <c r="NL354" s="27"/>
      <c r="NM354" s="27"/>
      <c r="NN354" s="27"/>
      <c r="NO354" s="27"/>
      <c r="NP354" s="27"/>
      <c r="NQ354" s="27"/>
      <c r="NR354" s="27"/>
      <c r="NS354" s="27"/>
      <c r="NT354" s="27"/>
      <c r="NU354" s="27"/>
      <c r="NV354" s="27"/>
      <c r="NW354" s="27"/>
      <c r="NX354" s="27"/>
      <c r="NY354" s="27"/>
      <c r="NZ354" s="27"/>
      <c r="OA354" s="27"/>
      <c r="OB354" s="27"/>
      <c r="OC354" s="27"/>
      <c r="OD354" s="27"/>
      <c r="OE354" s="27"/>
      <c r="OF354" s="27"/>
      <c r="OG354" s="27"/>
      <c r="OH354" s="27"/>
      <c r="OI354" s="27"/>
      <c r="OJ354" s="27"/>
      <c r="OK354" s="27"/>
      <c r="OL354" s="27"/>
      <c r="OM354" s="27"/>
      <c r="ON354" s="27"/>
      <c r="OO354" s="27"/>
      <c r="OP354" s="27"/>
      <c r="OQ354" s="27"/>
      <c r="OR354" s="27"/>
      <c r="OS354" s="27"/>
      <c r="OT354" s="27"/>
      <c r="OU354" s="27"/>
      <c r="OV354" s="27"/>
      <c r="OW354" s="27"/>
      <c r="OX354" s="27"/>
      <c r="OY354" s="27"/>
      <c r="OZ354" s="27"/>
      <c r="PA354" s="27"/>
      <c r="PB354" s="27"/>
      <c r="PC354" s="27"/>
      <c r="PD354" s="27"/>
      <c r="PE354" s="27"/>
      <c r="PF354" s="27"/>
      <c r="PG354" s="27"/>
      <c r="PH354" s="27"/>
      <c r="PI354" s="27"/>
      <c r="PJ354" s="27"/>
      <c r="PK354" s="27"/>
      <c r="PL354" s="27"/>
      <c r="PM354" s="27"/>
      <c r="PN354" s="27"/>
      <c r="PO354" s="27"/>
      <c r="PP354" s="27"/>
      <c r="PQ354" s="27"/>
      <c r="PR354" s="27"/>
      <c r="PS354" s="27"/>
      <c r="PT354" s="27"/>
      <c r="PU354" s="27"/>
      <c r="PV354" s="27"/>
      <c r="PW354" s="27"/>
      <c r="PX354" s="27"/>
      <c r="PY354" s="27"/>
      <c r="PZ354" s="27"/>
      <c r="QA354" s="27"/>
      <c r="QB354" s="27"/>
      <c r="QC354" s="27"/>
      <c r="QD354" s="27"/>
      <c r="QE354" s="27"/>
      <c r="QF354" s="27"/>
      <c r="QG354" s="27"/>
      <c r="QH354" s="27"/>
      <c r="QI354" s="27"/>
      <c r="QJ354" s="27"/>
      <c r="QK354" s="27"/>
      <c r="QL354" s="27"/>
      <c r="QM354" s="27"/>
      <c r="QN354" s="27"/>
      <c r="QO354" s="27"/>
      <c r="QP354" s="27"/>
      <c r="QQ354" s="27"/>
      <c r="QR354" s="27"/>
      <c r="QS354" s="27"/>
      <c r="QT354" s="27"/>
      <c r="QU354" s="27"/>
      <c r="QV354" s="27"/>
      <c r="QW354" s="27"/>
      <c r="QX354" s="27"/>
      <c r="QY354" s="27"/>
      <c r="QZ354" s="27"/>
      <c r="RA354" s="27"/>
      <c r="RB354" s="27"/>
      <c r="RC354" s="27"/>
      <c r="RD354" s="27"/>
      <c r="RE354" s="27"/>
      <c r="RF354" s="27"/>
      <c r="RG354" s="27"/>
      <c r="RH354" s="27"/>
      <c r="RI354" s="27"/>
      <c r="RJ354" s="27"/>
      <c r="RK354" s="27"/>
      <c r="RL354" s="27"/>
      <c r="RM354" s="27"/>
      <c r="RN354" s="27"/>
      <c r="RO354" s="27"/>
      <c r="RP354" s="27"/>
      <c r="RQ354" s="27"/>
      <c r="RR354" s="27"/>
      <c r="RS354" s="27"/>
      <c r="RT354" s="27"/>
      <c r="RU354" s="27"/>
      <c r="RV354" s="27"/>
      <c r="RW354" s="27"/>
      <c r="RX354" s="27"/>
      <c r="RY354" s="27"/>
      <c r="RZ354" s="27"/>
      <c r="SA354" s="27"/>
      <c r="SB354" s="27"/>
      <c r="SC354" s="27"/>
      <c r="SD354" s="27"/>
      <c r="SE354" s="27"/>
      <c r="SF354" s="27"/>
      <c r="SG354" s="27"/>
      <c r="SH354" s="27"/>
      <c r="SI354" s="27"/>
      <c r="SJ354" s="27"/>
      <c r="SK354" s="27"/>
      <c r="SL354" s="27"/>
      <c r="SM354" s="27"/>
      <c r="SN354" s="27"/>
      <c r="SO354" s="27"/>
      <c r="SP354" s="27"/>
      <c r="SQ354" s="27"/>
      <c r="SR354" s="27"/>
      <c r="SS354" s="27"/>
      <c r="ST354" s="27"/>
      <c r="SU354" s="27"/>
      <c r="SV354" s="27"/>
      <c r="SW354" s="27"/>
      <c r="SX354" s="27"/>
      <c r="SY354" s="27"/>
      <c r="SZ354" s="27"/>
      <c r="TA354" s="27"/>
      <c r="TB354" s="27"/>
      <c r="TC354" s="27"/>
      <c r="TD354" s="27"/>
      <c r="TE354" s="27"/>
      <c r="TF354" s="27"/>
      <c r="TG354" s="27"/>
      <c r="TH354" s="27"/>
      <c r="TI354" s="27"/>
      <c r="TJ354" s="27"/>
      <c r="TK354" s="27"/>
      <c r="TL354" s="27"/>
      <c r="TM354" s="27"/>
      <c r="TN354" s="27"/>
      <c r="TO354" s="27"/>
      <c r="TP354" s="27"/>
      <c r="TQ354" s="27"/>
      <c r="TR354" s="27"/>
      <c r="TS354" s="27"/>
      <c r="TT354" s="27"/>
      <c r="TU354" s="27"/>
      <c r="TV354" s="27"/>
      <c r="TW354" s="27"/>
      <c r="TX354" s="27"/>
      <c r="TY354" s="27"/>
      <c r="TZ354" s="27"/>
      <c r="UA354" s="27"/>
      <c r="UB354" s="27"/>
      <c r="UC354" s="27"/>
      <c r="UD354" s="27"/>
      <c r="UE354" s="27"/>
      <c r="UF354" s="27"/>
      <c r="UG354" s="27"/>
      <c r="UH354" s="27"/>
      <c r="UI354" s="27"/>
      <c r="UJ354" s="27"/>
      <c r="UK354" s="27"/>
      <c r="UL354" s="27"/>
      <c r="UM354" s="27"/>
      <c r="UN354" s="27"/>
      <c r="UO354" s="27"/>
      <c r="UP354" s="27"/>
      <c r="UQ354" s="27"/>
      <c r="UR354" s="27"/>
      <c r="US354" s="27"/>
      <c r="UT354" s="27"/>
      <c r="UU354" s="27"/>
      <c r="UV354" s="27"/>
      <c r="UW354" s="27"/>
      <c r="UX354" s="27"/>
      <c r="UY354" s="27"/>
      <c r="UZ354" s="27"/>
      <c r="VA354" s="27"/>
      <c r="VB354" s="27"/>
      <c r="VC354" s="27"/>
      <c r="VD354" s="27"/>
      <c r="VE354" s="27"/>
      <c r="VF354" s="27"/>
      <c r="VG354" s="27"/>
      <c r="VH354" s="27"/>
      <c r="VI354" s="27"/>
      <c r="VJ354" s="27"/>
      <c r="VK354" s="27"/>
      <c r="VL354" s="27"/>
      <c r="VM354" s="27"/>
      <c r="VN354" s="27"/>
      <c r="VO354" s="27"/>
      <c r="VP354" s="27"/>
      <c r="VQ354" s="27"/>
      <c r="VR354" s="27"/>
      <c r="VS354" s="27"/>
      <c r="VT354" s="27"/>
      <c r="VU354" s="27"/>
      <c r="VV354" s="27"/>
      <c r="VW354" s="27"/>
      <c r="VX354" s="27"/>
      <c r="VY354" s="27"/>
      <c r="VZ354" s="27"/>
      <c r="WA354" s="27"/>
      <c r="WB354" s="27"/>
      <c r="WC354" s="27"/>
      <c r="WD354" s="27"/>
      <c r="WE354" s="27"/>
      <c r="WF354" s="27"/>
      <c r="WG354" s="27"/>
      <c r="WH354" s="27"/>
      <c r="WI354" s="27"/>
      <c r="WJ354" s="27"/>
      <c r="WK354" s="27"/>
      <c r="WL354" s="27"/>
      <c r="WM354" s="27"/>
      <c r="WN354" s="27"/>
      <c r="WO354" s="27"/>
      <c r="WP354" s="27"/>
      <c r="WQ354" s="27"/>
      <c r="WR354" s="27"/>
      <c r="WS354" s="27"/>
      <c r="WT354" s="27"/>
      <c r="WU354" s="27"/>
      <c r="WV354" s="27"/>
      <c r="WW354" s="27"/>
      <c r="WX354" s="27"/>
      <c r="WY354" s="27"/>
      <c r="WZ354" s="27"/>
      <c r="XA354" s="27"/>
      <c r="XB354" s="27"/>
      <c r="XC354" s="27"/>
      <c r="XD354" s="27"/>
      <c r="XE354" s="27"/>
      <c r="XF354" s="27"/>
      <c r="XG354" s="27"/>
      <c r="XH354" s="27"/>
      <c r="XI354" s="27"/>
      <c r="XJ354" s="27"/>
      <c r="XK354" s="27"/>
      <c r="XL354" s="27"/>
      <c r="XM354" s="27"/>
      <c r="XN354" s="27"/>
      <c r="XO354" s="27"/>
      <c r="XP354" s="27"/>
      <c r="XQ354" s="27"/>
      <c r="XR354" s="27"/>
      <c r="XS354" s="27"/>
      <c r="XT354" s="27"/>
      <c r="XU354" s="27"/>
      <c r="XV354" s="27"/>
      <c r="XW354" s="27"/>
      <c r="XX354" s="27"/>
      <c r="XY354" s="27"/>
      <c r="XZ354" s="27"/>
      <c r="YA354" s="27"/>
      <c r="YB354" s="27"/>
      <c r="YC354" s="27"/>
      <c r="YD354" s="27"/>
      <c r="YE354" s="27"/>
      <c r="YF354" s="27"/>
      <c r="YG354" s="27"/>
      <c r="YH354" s="27"/>
      <c r="YI354" s="27"/>
      <c r="YJ354" s="27"/>
      <c r="YK354" s="27"/>
      <c r="YL354" s="27"/>
      <c r="YM354" s="27"/>
      <c r="YN354" s="27"/>
      <c r="YO354" s="27"/>
      <c r="YP354" s="27"/>
      <c r="YQ354" s="27"/>
      <c r="YR354" s="27"/>
      <c r="YS354" s="27"/>
      <c r="YT354" s="27"/>
      <c r="YU354" s="27"/>
      <c r="YV354" s="27"/>
      <c r="YW354" s="27"/>
      <c r="YX354" s="27"/>
      <c r="YY354" s="27"/>
      <c r="YZ354" s="27"/>
      <c r="ZA354" s="27"/>
      <c r="ZB354" s="27"/>
      <c r="ZC354" s="27"/>
      <c r="ZD354" s="27"/>
      <c r="ZE354" s="27"/>
      <c r="ZF354" s="27"/>
      <c r="ZG354" s="27"/>
      <c r="ZH354" s="27"/>
      <c r="ZI354" s="27"/>
      <c r="ZJ354" s="27"/>
      <c r="ZK354" s="27"/>
      <c r="ZL354" s="27"/>
      <c r="ZM354" s="27"/>
      <c r="ZN354" s="27"/>
      <c r="ZO354" s="27"/>
      <c r="ZP354" s="27"/>
      <c r="ZQ354" s="27"/>
      <c r="ZR354" s="27"/>
      <c r="ZS354" s="27"/>
      <c r="ZT354" s="27"/>
      <c r="ZU354" s="27"/>
      <c r="ZV354" s="27"/>
      <c r="ZW354" s="27"/>
      <c r="ZX354" s="27"/>
      <c r="ZY354" s="27"/>
      <c r="ZZ354" s="27"/>
      <c r="AAA354" s="27"/>
      <c r="AAB354" s="27"/>
      <c r="AAC354" s="27"/>
      <c r="AAD354" s="27"/>
      <c r="AAE354" s="27"/>
      <c r="AAF354" s="27"/>
      <c r="AAG354" s="27"/>
      <c r="AAH354" s="27"/>
      <c r="AAI354" s="27"/>
      <c r="AAJ354" s="27"/>
      <c r="AAK354" s="27"/>
      <c r="AAL354" s="27"/>
      <c r="AAM354" s="27"/>
      <c r="AAN354" s="27"/>
      <c r="AAO354" s="27"/>
      <c r="AAP354" s="27"/>
      <c r="AAQ354" s="27"/>
      <c r="AAR354" s="27"/>
      <c r="AAS354" s="27"/>
      <c r="AAT354" s="27"/>
      <c r="AAU354" s="27"/>
      <c r="AAV354" s="27"/>
      <c r="AAW354" s="27"/>
      <c r="AAX354" s="27"/>
      <c r="AAY354" s="27"/>
      <c r="AAZ354" s="27"/>
      <c r="ABA354" s="27"/>
      <c r="ABB354" s="27"/>
      <c r="ABC354" s="27"/>
      <c r="ABD354" s="27"/>
      <c r="ABE354" s="27"/>
      <c r="ABF354" s="27"/>
      <c r="ABG354" s="27"/>
      <c r="ABH354" s="27"/>
      <c r="ABI354" s="27"/>
      <c r="ABJ354" s="27"/>
      <c r="ABK354" s="27"/>
      <c r="ABL354" s="27"/>
      <c r="ABM354" s="27"/>
      <c r="ABN354" s="27"/>
      <c r="ABO354" s="27"/>
      <c r="ABP354" s="27"/>
      <c r="ABQ354" s="27"/>
      <c r="ABR354" s="27"/>
      <c r="ABS354" s="27"/>
      <c r="ABT354" s="27"/>
      <c r="ABU354" s="27"/>
      <c r="ABV354" s="27"/>
      <c r="ABW354" s="27"/>
      <c r="ABX354" s="27"/>
      <c r="ABY354" s="27"/>
      <c r="ABZ354" s="27"/>
      <c r="ACA354" s="27"/>
      <c r="ACB354" s="27"/>
      <c r="ACC354" s="27"/>
      <c r="ACD354" s="27"/>
      <c r="ACE354" s="27"/>
      <c r="ACF354" s="27"/>
      <c r="ACG354" s="27"/>
      <c r="ACH354" s="27"/>
      <c r="ACI354" s="27"/>
      <c r="ACJ354" s="27"/>
      <c r="ACK354" s="27"/>
      <c r="ACL354" s="27"/>
      <c r="ACM354" s="27"/>
      <c r="ACN354" s="27"/>
      <c r="ACO354" s="27"/>
      <c r="ACP354" s="27"/>
      <c r="ACQ354" s="27"/>
      <c r="ACR354" s="27"/>
      <c r="ACS354" s="27"/>
      <c r="ACT354" s="27"/>
      <c r="ACU354" s="27"/>
      <c r="ACV354" s="27"/>
      <c r="ACW354" s="27"/>
      <c r="ACX354" s="27"/>
      <c r="ACY354" s="27"/>
      <c r="ACZ354" s="27"/>
      <c r="ADA354" s="27"/>
      <c r="ADB354" s="27"/>
      <c r="ADC354" s="27"/>
      <c r="ADD354" s="27"/>
      <c r="ADE354" s="27"/>
      <c r="ADF354" s="27"/>
      <c r="ADG354" s="27"/>
      <c r="ADH354" s="27"/>
      <c r="ADI354" s="27"/>
      <c r="ADJ354" s="27"/>
      <c r="ADK354" s="27"/>
      <c r="ADL354" s="27"/>
      <c r="ADM354" s="27"/>
      <c r="ADN354" s="27"/>
      <c r="ADO354" s="27"/>
      <c r="ADP354" s="27"/>
      <c r="ADQ354" s="27"/>
      <c r="ADR354" s="27"/>
      <c r="ADS354" s="27"/>
      <c r="ADT354" s="27"/>
      <c r="ADU354" s="27"/>
      <c r="ADV354" s="27"/>
      <c r="ADW354" s="27"/>
      <c r="ADX354" s="27"/>
      <c r="ADY354" s="27"/>
      <c r="ADZ354" s="27"/>
      <c r="AEA354" s="27"/>
      <c r="AEB354" s="27"/>
      <c r="AEC354" s="27"/>
      <c r="AED354" s="27"/>
      <c r="AEE354" s="27"/>
      <c r="AEF354" s="27"/>
      <c r="AEG354" s="27"/>
      <c r="AEH354" s="27"/>
      <c r="AEI354" s="27"/>
      <c r="AEJ354" s="27"/>
      <c r="AEK354" s="27"/>
      <c r="AEL354" s="27"/>
      <c r="AEM354" s="27"/>
      <c r="AEN354" s="27"/>
      <c r="AEO354" s="27"/>
      <c r="AEP354" s="27"/>
      <c r="AEQ354" s="27"/>
      <c r="AER354" s="27"/>
      <c r="AES354" s="27"/>
      <c r="AET354" s="27"/>
      <c r="AEU354" s="27"/>
      <c r="AEV354" s="27"/>
      <c r="AEW354" s="27"/>
      <c r="AEX354" s="27"/>
      <c r="AEY354" s="27"/>
      <c r="AEZ354" s="27"/>
      <c r="AFA354" s="27"/>
      <c r="AFB354" s="27"/>
      <c r="AFC354" s="27"/>
      <c r="AFD354" s="27"/>
      <c r="AFE354" s="27"/>
      <c r="AFF354" s="27"/>
      <c r="AFG354" s="27"/>
      <c r="AFH354" s="27"/>
      <c r="AFI354" s="27"/>
      <c r="AFJ354" s="27"/>
      <c r="AFK354" s="27"/>
      <c r="AFL354" s="27"/>
      <c r="AFM354" s="27"/>
      <c r="AFN354" s="27"/>
      <c r="AFO354" s="27"/>
      <c r="AFP354" s="27"/>
      <c r="AFQ354" s="27"/>
      <c r="AFR354" s="27"/>
      <c r="AFS354" s="27"/>
      <c r="AFT354" s="27"/>
      <c r="AFU354" s="27"/>
      <c r="AFV354" s="27"/>
      <c r="AFW354" s="27"/>
      <c r="AFX354" s="27"/>
      <c r="AFY354" s="27"/>
      <c r="AFZ354" s="27"/>
      <c r="AGA354" s="27"/>
      <c r="AGB354" s="27"/>
      <c r="AGC354" s="27"/>
      <c r="AGD354" s="27"/>
      <c r="AGE354" s="27"/>
      <c r="AGF354" s="27"/>
      <c r="AGG354" s="27"/>
      <c r="AGH354" s="27"/>
      <c r="AGI354" s="27"/>
      <c r="AGJ354" s="27"/>
      <c r="AGK354" s="27"/>
      <c r="AGL354" s="27"/>
      <c r="AGM354" s="27"/>
      <c r="AGN354" s="27"/>
      <c r="AGO354" s="27"/>
      <c r="AGP354" s="27"/>
      <c r="AGQ354" s="27"/>
      <c r="AGR354" s="27"/>
      <c r="AGS354" s="27"/>
      <c r="AGT354" s="27"/>
      <c r="AGU354" s="27"/>
      <c r="AGV354" s="27"/>
      <c r="AGW354" s="27"/>
      <c r="AGX354" s="27"/>
      <c r="AGY354" s="27"/>
      <c r="AGZ354" s="27"/>
      <c r="AHA354" s="27"/>
      <c r="AHB354" s="27"/>
      <c r="AHC354" s="27"/>
      <c r="AHD354" s="27"/>
      <c r="AHE354" s="27"/>
      <c r="AHF354" s="27"/>
      <c r="AHG354" s="27"/>
      <c r="AHH354" s="27"/>
      <c r="AHI354" s="27"/>
      <c r="AHJ354" s="27"/>
      <c r="AHK354" s="27"/>
      <c r="AHL354" s="27"/>
      <c r="AHM354" s="27"/>
      <c r="AHN354" s="27"/>
      <c r="AHO354" s="27"/>
      <c r="AHP354" s="27"/>
      <c r="AHQ354" s="27"/>
      <c r="AHR354" s="27"/>
      <c r="AHS354" s="27"/>
      <c r="AHT354" s="27"/>
      <c r="AHU354" s="27"/>
      <c r="AHV354" s="27"/>
      <c r="AHW354" s="27"/>
      <c r="AHX354" s="27"/>
      <c r="AHY354" s="27"/>
      <c r="AHZ354" s="27"/>
      <c r="AIA354" s="27"/>
      <c r="AIB354" s="27"/>
      <c r="AIC354" s="27"/>
      <c r="AID354" s="27"/>
      <c r="AIE354" s="27"/>
      <c r="AIF354" s="27"/>
      <c r="AIG354" s="27"/>
      <c r="AIH354" s="27"/>
      <c r="AII354" s="27"/>
      <c r="AIJ354" s="27"/>
      <c r="AIK354" s="27"/>
      <c r="AIL354" s="27"/>
      <c r="AIM354" s="27"/>
      <c r="AIN354" s="27"/>
      <c r="AIO354" s="27"/>
      <c r="AIP354" s="27"/>
      <c r="AIQ354" s="27"/>
      <c r="AIR354" s="27"/>
      <c r="AIS354" s="27"/>
      <c r="AIT354" s="27"/>
      <c r="AIU354" s="27"/>
      <c r="AIV354" s="27"/>
      <c r="AIW354" s="27"/>
      <c r="AIX354" s="27"/>
      <c r="AIY354" s="27"/>
      <c r="AIZ354" s="27"/>
      <c r="AJA354" s="27"/>
      <c r="AJB354" s="27"/>
      <c r="AJC354" s="27"/>
      <c r="AJD354" s="27"/>
      <c r="AJE354" s="27"/>
      <c r="AJF354" s="27"/>
      <c r="AJG354" s="27"/>
      <c r="AJH354" s="27"/>
      <c r="AJI354" s="27"/>
      <c r="AJJ354" s="27"/>
      <c r="AJK354" s="27"/>
      <c r="AJL354" s="27"/>
      <c r="AJM354" s="27"/>
      <c r="AJN354" s="27"/>
      <c r="AJO354" s="27"/>
      <c r="AJP354" s="27"/>
      <c r="AJQ354" s="27"/>
      <c r="AJR354" s="27"/>
      <c r="AJS354" s="27"/>
      <c r="AJT354" s="27"/>
      <c r="AJU354" s="27"/>
      <c r="AJV354" s="27"/>
      <c r="AJW354" s="27"/>
      <c r="AJX354" s="27"/>
      <c r="AJY354" s="27"/>
      <c r="AJZ354" s="27"/>
      <c r="AKA354" s="27"/>
      <c r="AKB354" s="27"/>
      <c r="AKC354" s="27"/>
      <c r="AKD354" s="27"/>
      <c r="AKE354" s="27"/>
      <c r="AKF354" s="27"/>
      <c r="AKG354" s="27"/>
      <c r="AKH354" s="27"/>
      <c r="AKI354" s="27"/>
      <c r="AKJ354" s="27"/>
      <c r="AKK354" s="27"/>
      <c r="AKL354" s="27"/>
      <c r="AKM354" s="27"/>
      <c r="AKN354" s="27"/>
      <c r="AKO354" s="27"/>
      <c r="AKP354" s="27"/>
      <c r="AKQ354" s="27"/>
      <c r="AKR354" s="27"/>
      <c r="AKS354" s="27"/>
      <c r="AKT354" s="27"/>
      <c r="AKU354" s="27"/>
      <c r="AKV354" s="27"/>
      <c r="AKW354" s="27"/>
      <c r="AKX354" s="27"/>
      <c r="AKY354" s="27"/>
      <c r="AKZ354" s="27"/>
      <c r="ALA354" s="27"/>
      <c r="ALB354" s="27"/>
      <c r="ALC354" s="27"/>
      <c r="ALD354" s="27"/>
      <c r="ALE354" s="27"/>
      <c r="ALF354" s="27"/>
      <c r="ALG354" s="27"/>
      <c r="ALH354" s="27"/>
      <c r="ALI354" s="27"/>
      <c r="ALJ354" s="27"/>
      <c r="ALK354" s="27"/>
      <c r="ALL354" s="27"/>
      <c r="ALM354" s="27"/>
      <c r="ALN354" s="27"/>
      <c r="ALO354" s="27"/>
      <c r="ALP354" s="27"/>
      <c r="ALQ354" s="27"/>
      <c r="ALR354" s="27"/>
      <c r="ALS354" s="27"/>
      <c r="ALT354" s="27"/>
      <c r="ALU354" s="27"/>
      <c r="ALV354" s="27"/>
      <c r="ALW354" s="27"/>
      <c r="ALX354" s="27"/>
      <c r="ALY354" s="27"/>
      <c r="ALZ354" s="27"/>
      <c r="AMA354" s="27"/>
      <c r="AMB354" s="27"/>
      <c r="AMC354" s="27"/>
      <c r="AMD354" s="27"/>
      <c r="AME354" s="27"/>
      <c r="AMF354" s="27"/>
      <c r="AMG354" s="27"/>
      <c r="AMH354" s="27"/>
      <c r="AMI354" s="27"/>
      <c r="AMJ354" s="27"/>
      <c r="AMK354" s="27"/>
      <c r="AML354" s="27"/>
      <c r="AMM354" s="27"/>
      <c r="AMN354" s="27"/>
      <c r="AMO354" s="27"/>
      <c r="AMP354" s="27"/>
      <c r="AMQ354" s="27"/>
      <c r="AMR354" s="27"/>
      <c r="AMS354" s="27"/>
      <c r="AMT354" s="27"/>
      <c r="AMU354" s="27"/>
      <c r="AMV354" s="27"/>
      <c r="AMW354" s="27"/>
      <c r="AMX354" s="27"/>
      <c r="AMY354" s="27"/>
      <c r="AMZ354" s="27"/>
      <c r="ANA354" s="27"/>
      <c r="ANB354" s="27"/>
      <c r="ANC354" s="27"/>
      <c r="AND354" s="27"/>
      <c r="ANE354" s="27"/>
      <c r="ANF354" s="27"/>
      <c r="ANG354" s="27"/>
      <c r="ANH354" s="27"/>
      <c r="ANI354" s="27"/>
      <c r="ANJ354" s="27"/>
      <c r="ANK354" s="27"/>
      <c r="ANL354" s="27"/>
      <c r="ANM354" s="27"/>
      <c r="ANN354" s="27"/>
      <c r="ANO354" s="27"/>
      <c r="ANP354" s="27"/>
      <c r="ANQ354" s="27"/>
      <c r="ANR354" s="27"/>
      <c r="ANS354" s="27"/>
      <c r="ANT354" s="27"/>
      <c r="ANU354" s="27"/>
      <c r="ANV354" s="27"/>
      <c r="ANW354" s="27"/>
      <c r="ANX354" s="27"/>
      <c r="ANY354" s="27"/>
      <c r="ANZ354" s="27"/>
      <c r="AOA354" s="27"/>
      <c r="AOB354" s="27"/>
      <c r="AOC354" s="27"/>
      <c r="AOD354" s="27"/>
      <c r="AOE354" s="27"/>
      <c r="AOF354" s="27"/>
      <c r="AOG354" s="27"/>
      <c r="AOH354" s="27"/>
      <c r="AOI354" s="27"/>
      <c r="AOJ354" s="27"/>
      <c r="AOK354" s="27"/>
      <c r="AOL354" s="27"/>
      <c r="AOM354" s="27"/>
      <c r="AON354" s="27"/>
      <c r="AOO354" s="27"/>
      <c r="AOP354" s="27"/>
      <c r="AOQ354" s="27"/>
      <c r="AOR354" s="27"/>
      <c r="AOS354" s="27"/>
      <c r="AOT354" s="27"/>
      <c r="AOU354" s="27"/>
      <c r="AOV354" s="27"/>
      <c r="AOW354" s="27"/>
      <c r="AOX354" s="27"/>
      <c r="AOY354" s="27"/>
      <c r="AOZ354" s="27"/>
      <c r="APA354" s="27"/>
      <c r="APB354" s="27"/>
      <c r="APC354" s="27"/>
      <c r="APD354" s="27"/>
      <c r="APE354" s="27"/>
      <c r="APF354" s="27"/>
      <c r="APG354" s="27"/>
      <c r="APH354" s="27"/>
      <c r="API354" s="27"/>
      <c r="APJ354" s="27"/>
      <c r="APK354" s="27"/>
      <c r="APL354" s="27"/>
      <c r="APM354" s="27"/>
      <c r="APN354" s="27"/>
      <c r="APO354" s="27"/>
      <c r="APP354" s="27"/>
      <c r="APQ354" s="27"/>
      <c r="APR354" s="27"/>
      <c r="APS354" s="27"/>
      <c r="APT354" s="27"/>
      <c r="APU354" s="27"/>
      <c r="APV354" s="27"/>
      <c r="APW354" s="27"/>
      <c r="APX354" s="27"/>
      <c r="APY354" s="27"/>
      <c r="APZ354" s="27"/>
      <c r="AQA354" s="27"/>
      <c r="AQB354" s="27"/>
      <c r="AQC354" s="27"/>
      <c r="AQD354" s="27"/>
      <c r="AQE354" s="27"/>
      <c r="AQF354" s="27"/>
      <c r="AQG354" s="27"/>
      <c r="AQH354" s="27"/>
      <c r="AQI354" s="27"/>
      <c r="AQJ354" s="27"/>
      <c r="AQK354" s="27"/>
      <c r="AQL354" s="27"/>
      <c r="AQM354" s="27"/>
      <c r="AQN354" s="27"/>
      <c r="AQO354" s="27"/>
      <c r="AQP354" s="27"/>
      <c r="AQQ354" s="27"/>
      <c r="AQR354" s="27"/>
      <c r="AQS354" s="27"/>
      <c r="AQT354" s="27"/>
      <c r="AQU354" s="27"/>
      <c r="AQV354" s="27"/>
      <c r="AQW354" s="27"/>
      <c r="AQX354" s="27"/>
      <c r="AQY354" s="27"/>
      <c r="AQZ354" s="27"/>
      <c r="ARA354" s="27"/>
      <c r="ARB354" s="27"/>
      <c r="ARC354" s="27"/>
      <c r="ARD354" s="27"/>
      <c r="ARE354" s="27"/>
      <c r="ARF354" s="27"/>
      <c r="ARG354" s="27"/>
      <c r="ARH354" s="27"/>
      <c r="ARI354" s="27"/>
      <c r="ARJ354" s="27"/>
      <c r="ARK354" s="27"/>
      <c r="ARL354" s="27"/>
      <c r="ARM354" s="27"/>
      <c r="ARN354" s="27"/>
      <c r="ARO354" s="27"/>
      <c r="ARP354" s="27"/>
      <c r="ARQ354" s="27"/>
      <c r="ARR354" s="27"/>
      <c r="ARS354" s="27"/>
      <c r="ART354" s="27"/>
      <c r="ARU354" s="27"/>
      <c r="ARV354" s="27"/>
      <c r="ARW354" s="27"/>
      <c r="ARX354" s="27"/>
      <c r="ARY354" s="27"/>
      <c r="ARZ354" s="27"/>
      <c r="ASA354" s="27"/>
      <c r="ASB354" s="27"/>
      <c r="ASC354" s="27"/>
      <c r="ASD354" s="27"/>
      <c r="ASE354" s="27"/>
      <c r="ASF354" s="27"/>
      <c r="ASG354" s="27"/>
      <c r="ASH354" s="27"/>
      <c r="ASI354" s="27"/>
      <c r="ASJ354" s="27"/>
      <c r="ASK354" s="27"/>
      <c r="ASL354" s="27"/>
      <c r="ASM354" s="27"/>
      <c r="ASN354" s="27"/>
      <c r="ASO354" s="27"/>
      <c r="ASP354" s="27"/>
      <c r="ASQ354" s="27"/>
      <c r="ASR354" s="27"/>
      <c r="ASS354" s="27"/>
      <c r="AST354" s="27"/>
      <c r="ASU354" s="27"/>
      <c r="ASV354" s="27"/>
      <c r="ASW354" s="27"/>
      <c r="ASX354" s="27"/>
      <c r="ASY354" s="27"/>
      <c r="ASZ354" s="27"/>
      <c r="ATA354" s="27"/>
      <c r="ATB354" s="27"/>
      <c r="ATC354" s="27"/>
      <c r="ATD354" s="27"/>
      <c r="ATE354" s="27"/>
      <c r="ATF354" s="27"/>
      <c r="ATG354" s="27"/>
      <c r="ATH354" s="27"/>
      <c r="ATI354" s="27"/>
      <c r="ATJ354" s="27"/>
      <c r="ATK354" s="27"/>
      <c r="ATL354" s="27"/>
      <c r="ATM354" s="27"/>
      <c r="ATN354" s="27"/>
      <c r="ATO354" s="27"/>
      <c r="ATP354" s="27"/>
      <c r="ATQ354" s="27"/>
      <c r="ATR354" s="27"/>
      <c r="ATS354" s="27"/>
      <c r="ATT354" s="27"/>
      <c r="ATU354" s="27"/>
      <c r="ATV354" s="27"/>
      <c r="ATW354" s="27"/>
      <c r="ATX354" s="27"/>
      <c r="ATY354" s="27"/>
      <c r="ATZ354" s="27"/>
      <c r="AUA354" s="27"/>
      <c r="AUB354" s="27"/>
      <c r="AUC354" s="27"/>
      <c r="AUD354" s="27"/>
      <c r="AUE354" s="27"/>
      <c r="AUF354" s="27"/>
      <c r="AUG354" s="27"/>
      <c r="AUH354" s="27"/>
      <c r="AUI354" s="27"/>
      <c r="AUJ354" s="27"/>
      <c r="AUK354" s="27"/>
      <c r="AUL354" s="27"/>
      <c r="AUM354" s="27"/>
      <c r="AUN354" s="27"/>
      <c r="AUO354" s="27"/>
      <c r="AUP354" s="27"/>
      <c r="AUQ354" s="27"/>
      <c r="AUR354" s="27"/>
      <c r="AUS354" s="27"/>
      <c r="AUT354" s="27"/>
      <c r="AUU354" s="27"/>
      <c r="AUV354" s="27"/>
      <c r="AUW354" s="27"/>
      <c r="AUX354" s="27"/>
      <c r="AUY354" s="27"/>
      <c r="AUZ354" s="27"/>
      <c r="AVA354" s="27"/>
      <c r="AVB354" s="27"/>
      <c r="AVC354" s="27"/>
      <c r="AVD354" s="27"/>
      <c r="AVE354" s="27"/>
      <c r="AVF354" s="27"/>
      <c r="AVG354" s="27"/>
      <c r="AVH354" s="27"/>
      <c r="AVI354" s="27"/>
      <c r="AVJ354" s="27"/>
      <c r="AVK354" s="27"/>
      <c r="AVL354" s="27"/>
      <c r="AVM354" s="27"/>
      <c r="AVN354" s="27"/>
      <c r="AVO354" s="27"/>
      <c r="AVP354" s="27"/>
      <c r="AVQ354" s="27"/>
      <c r="AVR354" s="27"/>
      <c r="AVS354" s="27"/>
      <c r="AVT354" s="27"/>
      <c r="AVU354" s="27"/>
      <c r="AVV354" s="27"/>
      <c r="AVW354" s="27"/>
      <c r="AVX354" s="27"/>
      <c r="AVY354" s="27"/>
      <c r="AVZ354" s="27"/>
      <c r="AWA354" s="27"/>
      <c r="AWB354" s="27"/>
      <c r="AWC354" s="27"/>
      <c r="AWD354" s="27"/>
      <c r="AWE354" s="27"/>
      <c r="AWF354" s="27"/>
      <c r="AWG354" s="27"/>
      <c r="AWH354" s="27"/>
      <c r="AWI354" s="27"/>
      <c r="AWJ354" s="27"/>
      <c r="AWK354" s="27"/>
      <c r="AWL354" s="27"/>
      <c r="AWM354" s="27"/>
      <c r="AWN354" s="27"/>
      <c r="AWO354" s="27"/>
      <c r="AWP354" s="27"/>
      <c r="AWQ354" s="27"/>
      <c r="AWR354" s="27"/>
      <c r="AWS354" s="27"/>
      <c r="AWT354" s="27"/>
      <c r="AWU354" s="27"/>
      <c r="AWV354" s="27"/>
      <c r="AWW354" s="27"/>
      <c r="AWX354" s="27"/>
      <c r="AWY354" s="27"/>
      <c r="AWZ354" s="27"/>
      <c r="AXA354" s="27"/>
      <c r="AXB354" s="27"/>
      <c r="AXC354" s="27"/>
      <c r="AXD354" s="27"/>
      <c r="AXE354" s="27"/>
      <c r="AXF354" s="27"/>
      <c r="AXG354" s="27"/>
      <c r="AXH354" s="27"/>
      <c r="AXI354" s="27"/>
      <c r="AXJ354" s="27"/>
      <c r="AXK354" s="27"/>
      <c r="AXL354" s="27"/>
      <c r="AXM354" s="27"/>
      <c r="AXN354" s="27"/>
      <c r="AXO354" s="27"/>
      <c r="AXP354" s="27"/>
      <c r="AXQ354" s="27"/>
      <c r="AXR354" s="27"/>
      <c r="AXS354" s="27"/>
      <c r="AXT354" s="27"/>
      <c r="AXU354" s="27"/>
      <c r="AXV354" s="27"/>
      <c r="AXW354" s="27"/>
      <c r="AXX354" s="27"/>
      <c r="AXY354" s="27"/>
      <c r="AXZ354" s="27"/>
      <c r="AYA354" s="27"/>
      <c r="AYB354" s="27"/>
      <c r="AYC354" s="27"/>
      <c r="AYD354" s="27"/>
      <c r="AYE354" s="27"/>
      <c r="AYF354" s="27"/>
      <c r="AYG354" s="27"/>
      <c r="AYH354" s="27"/>
      <c r="AYI354" s="27"/>
      <c r="AYJ354" s="27"/>
      <c r="AYK354" s="27"/>
      <c r="AYL354" s="27"/>
      <c r="AYM354" s="27"/>
      <c r="AYN354" s="27"/>
      <c r="AYO354" s="27"/>
      <c r="AYP354" s="27"/>
      <c r="AYQ354" s="27"/>
      <c r="AYR354" s="27"/>
      <c r="AYS354" s="27"/>
      <c r="AYT354" s="27"/>
      <c r="AYU354" s="27"/>
      <c r="AYV354" s="27"/>
      <c r="AYW354" s="27"/>
      <c r="AYX354" s="27"/>
      <c r="AYY354" s="27"/>
      <c r="AYZ354" s="27"/>
      <c r="AZA354" s="27"/>
      <c r="AZB354" s="27"/>
      <c r="AZC354" s="27"/>
      <c r="AZD354" s="27"/>
      <c r="AZE354" s="27"/>
      <c r="AZF354" s="27"/>
      <c r="AZG354" s="27"/>
      <c r="AZH354" s="27"/>
      <c r="AZI354" s="27"/>
      <c r="AZJ354" s="27"/>
      <c r="AZK354" s="27"/>
      <c r="AZL354" s="27"/>
      <c r="AZM354" s="27"/>
      <c r="AZN354" s="27"/>
      <c r="AZO354" s="27"/>
      <c r="AZP354" s="27"/>
      <c r="AZQ354" s="27"/>
      <c r="AZR354" s="27"/>
      <c r="AZS354" s="27"/>
      <c r="AZT354" s="27"/>
      <c r="AZU354" s="27"/>
      <c r="AZV354" s="27"/>
      <c r="AZW354" s="27"/>
      <c r="AZX354" s="27"/>
      <c r="AZY354" s="27"/>
      <c r="AZZ354" s="27"/>
      <c r="BAA354" s="27"/>
      <c r="BAB354" s="27"/>
      <c r="BAC354" s="27"/>
      <c r="BAD354" s="27"/>
      <c r="BAE354" s="27"/>
      <c r="BAF354" s="27"/>
      <c r="BAG354" s="27"/>
      <c r="BAH354" s="27"/>
      <c r="BAI354" s="27"/>
      <c r="BAJ354" s="27"/>
      <c r="BAK354" s="27"/>
      <c r="BAL354" s="27"/>
      <c r="BAM354" s="27"/>
      <c r="BAN354" s="27"/>
      <c r="BAO354" s="27"/>
      <c r="BAP354" s="27"/>
      <c r="BAQ354" s="27"/>
      <c r="BAR354" s="27"/>
      <c r="BAS354" s="27"/>
      <c r="BAT354" s="27"/>
      <c r="BAU354" s="27"/>
      <c r="BAV354" s="27"/>
      <c r="BAW354" s="27"/>
      <c r="BAX354" s="27"/>
      <c r="BAY354" s="27"/>
      <c r="BAZ354" s="27"/>
      <c r="BBA354" s="27"/>
      <c r="BBB354" s="27"/>
      <c r="BBC354" s="27"/>
      <c r="BBD354" s="27"/>
      <c r="BBE354" s="27"/>
      <c r="BBF354" s="27"/>
      <c r="BBG354" s="27"/>
      <c r="BBH354" s="27"/>
      <c r="BBI354" s="27"/>
      <c r="BBJ354" s="27"/>
      <c r="BBK354" s="27"/>
      <c r="BBL354" s="27"/>
      <c r="BBM354" s="27"/>
      <c r="BBN354" s="27"/>
      <c r="BBO354" s="27"/>
      <c r="BBP354" s="27"/>
      <c r="BBQ354" s="27"/>
      <c r="BBR354" s="27"/>
      <c r="BBS354" s="27"/>
      <c r="BBT354" s="27"/>
      <c r="BBU354" s="27"/>
      <c r="BBV354" s="27"/>
      <c r="BBW354" s="27"/>
      <c r="BBX354" s="27"/>
      <c r="BBY354" s="27"/>
      <c r="BBZ354" s="27"/>
      <c r="BCA354" s="27"/>
      <c r="BCB354" s="27"/>
      <c r="BCC354" s="27"/>
      <c r="BCD354" s="27"/>
      <c r="BCE354" s="27"/>
      <c r="BCF354" s="27"/>
      <c r="BCG354" s="27"/>
      <c r="BCH354" s="27"/>
      <c r="BCI354" s="27"/>
      <c r="BCJ354" s="27"/>
      <c r="BCK354" s="27"/>
      <c r="BCL354" s="27"/>
      <c r="BCM354" s="27"/>
      <c r="BCN354" s="27"/>
      <c r="BCO354" s="27"/>
      <c r="BCP354" s="27"/>
      <c r="BCQ354" s="27"/>
      <c r="BCR354" s="27"/>
      <c r="BCS354" s="27"/>
      <c r="BCT354" s="27"/>
      <c r="BCU354" s="27"/>
      <c r="BCV354" s="27"/>
      <c r="BCW354" s="27"/>
      <c r="BCX354" s="27"/>
      <c r="BCY354" s="27"/>
      <c r="BCZ354" s="27"/>
      <c r="BDA354" s="27"/>
      <c r="BDB354" s="27"/>
      <c r="BDC354" s="27"/>
      <c r="BDD354" s="27"/>
      <c r="BDE354" s="27"/>
      <c r="BDF354" s="27"/>
      <c r="BDG354" s="27"/>
      <c r="BDH354" s="27"/>
      <c r="BDI354" s="27"/>
      <c r="BDJ354" s="27"/>
      <c r="BDK354" s="27"/>
      <c r="BDL354" s="27"/>
      <c r="BDM354" s="27"/>
      <c r="BDN354" s="27"/>
      <c r="BDO354" s="27"/>
      <c r="BDP354" s="27"/>
      <c r="BDQ354" s="27"/>
      <c r="BDR354" s="27"/>
      <c r="BDS354" s="27"/>
      <c r="BDT354" s="27"/>
      <c r="BDU354" s="27"/>
      <c r="BDV354" s="27"/>
      <c r="BDW354" s="27"/>
      <c r="BDX354" s="27"/>
      <c r="BDY354" s="27"/>
      <c r="BDZ354" s="27"/>
      <c r="BEA354" s="27"/>
      <c r="BEB354" s="27"/>
      <c r="BEC354" s="27"/>
      <c r="BED354" s="27"/>
      <c r="BEE354" s="27"/>
      <c r="BEF354" s="27"/>
      <c r="BEG354" s="27"/>
      <c r="BEH354" s="27"/>
      <c r="BEI354" s="27"/>
      <c r="BEJ354" s="27"/>
      <c r="BEK354" s="27"/>
      <c r="BEL354" s="27"/>
      <c r="BEM354" s="27"/>
      <c r="BEN354" s="27"/>
      <c r="BEO354" s="27"/>
      <c r="BEP354" s="27"/>
      <c r="BEQ354" s="27"/>
      <c r="BER354" s="27"/>
      <c r="BES354" s="27"/>
      <c r="BET354" s="27"/>
      <c r="BEU354" s="27"/>
      <c r="BEV354" s="27"/>
      <c r="BEW354" s="27"/>
      <c r="BEX354" s="27"/>
      <c r="BEY354" s="27"/>
      <c r="BEZ354" s="27"/>
      <c r="BFA354" s="27"/>
      <c r="BFB354" s="27"/>
      <c r="BFC354" s="27"/>
      <c r="BFD354" s="27"/>
      <c r="BFE354" s="27"/>
      <c r="BFF354" s="27"/>
      <c r="BFG354" s="27"/>
      <c r="BFH354" s="27"/>
      <c r="BFI354" s="27"/>
      <c r="BFJ354" s="27"/>
      <c r="BFK354" s="27"/>
      <c r="BFL354" s="27"/>
      <c r="BFM354" s="27"/>
      <c r="BFN354" s="27"/>
      <c r="BFO354" s="27"/>
      <c r="BFP354" s="27"/>
      <c r="BFQ354" s="27"/>
      <c r="BFR354" s="27"/>
      <c r="BFS354" s="27"/>
      <c r="BFT354" s="27"/>
      <c r="BFU354" s="27"/>
      <c r="BFV354" s="27"/>
      <c r="BFW354" s="27"/>
      <c r="BFX354" s="27"/>
      <c r="BFY354" s="27"/>
      <c r="BFZ354" s="27"/>
      <c r="BGA354" s="27"/>
      <c r="BGB354" s="27"/>
      <c r="BGC354" s="27"/>
      <c r="BGD354" s="27"/>
      <c r="BGE354" s="27"/>
      <c r="BGF354" s="27"/>
      <c r="BGG354" s="27"/>
      <c r="BGH354" s="27"/>
      <c r="BGI354" s="27"/>
      <c r="BGJ354" s="27"/>
      <c r="BGK354" s="27"/>
      <c r="BGL354" s="27"/>
      <c r="BGM354" s="27"/>
      <c r="BGN354" s="27"/>
      <c r="BGO354" s="27"/>
      <c r="BGP354" s="27"/>
      <c r="BGQ354" s="27"/>
      <c r="BGR354" s="27"/>
      <c r="BGS354" s="27"/>
      <c r="BGT354" s="27"/>
      <c r="BGU354" s="27"/>
      <c r="BGV354" s="27"/>
      <c r="BGW354" s="27"/>
      <c r="BGX354" s="27"/>
      <c r="BGY354" s="27"/>
      <c r="BGZ354" s="27"/>
      <c r="BHA354" s="27"/>
      <c r="BHB354" s="27"/>
      <c r="BHC354" s="27"/>
      <c r="BHD354" s="27"/>
      <c r="BHE354" s="27"/>
      <c r="BHF354" s="27"/>
      <c r="BHG354" s="27"/>
      <c r="BHH354" s="27"/>
      <c r="BHI354" s="27"/>
      <c r="BHJ354" s="27"/>
      <c r="BHK354" s="27"/>
      <c r="BHL354" s="27"/>
      <c r="BHM354" s="27"/>
      <c r="BHN354" s="27"/>
      <c r="BHO354" s="27"/>
      <c r="BHP354" s="27"/>
      <c r="BHQ354" s="27"/>
      <c r="BHR354" s="27"/>
      <c r="BHS354" s="27"/>
      <c r="BHT354" s="27"/>
      <c r="BHU354" s="27"/>
      <c r="BHV354" s="27"/>
      <c r="BHW354" s="27"/>
      <c r="BHX354" s="27"/>
      <c r="BHY354" s="27"/>
      <c r="BHZ354" s="27"/>
      <c r="BIA354" s="27"/>
      <c r="BIB354" s="27"/>
      <c r="BIC354" s="27"/>
      <c r="BID354" s="27"/>
      <c r="BIE354" s="27"/>
      <c r="BIF354" s="27"/>
      <c r="BIG354" s="27"/>
      <c r="BIH354" s="27"/>
      <c r="BII354" s="27"/>
      <c r="BIJ354" s="27"/>
      <c r="BIK354" s="27"/>
      <c r="BIL354" s="27"/>
      <c r="BIM354" s="27"/>
      <c r="BIN354" s="27"/>
      <c r="BIO354" s="27"/>
      <c r="BIP354" s="27"/>
      <c r="BIQ354" s="27"/>
      <c r="BIR354" s="27"/>
      <c r="BIS354" s="27"/>
      <c r="BIT354" s="27"/>
      <c r="BIU354" s="27"/>
      <c r="BIV354" s="27"/>
      <c r="BIW354" s="27"/>
      <c r="BIX354" s="27"/>
      <c r="BIY354" s="27"/>
      <c r="BIZ354" s="27"/>
      <c r="BJA354" s="27"/>
      <c r="BJB354" s="27"/>
      <c r="BJC354" s="27"/>
      <c r="BJD354" s="27"/>
      <c r="BJE354" s="27"/>
      <c r="BJF354" s="27"/>
      <c r="BJG354" s="27"/>
      <c r="BJH354" s="27"/>
      <c r="BJI354" s="27"/>
      <c r="BJJ354" s="27"/>
      <c r="BJK354" s="27"/>
      <c r="BJL354" s="27"/>
      <c r="BJM354" s="27"/>
      <c r="BJN354" s="27"/>
      <c r="BJO354" s="27"/>
      <c r="BJP354" s="27"/>
      <c r="BJQ354" s="27"/>
      <c r="BJR354" s="27"/>
      <c r="BJS354" s="27"/>
      <c r="BJT354" s="27"/>
      <c r="BJU354" s="27"/>
      <c r="BJV354" s="27"/>
      <c r="BJW354" s="27"/>
      <c r="BJX354" s="27"/>
      <c r="BJY354" s="27"/>
      <c r="BJZ354" s="27"/>
      <c r="BKA354" s="27"/>
      <c r="BKB354" s="27"/>
      <c r="BKC354" s="27"/>
      <c r="BKD354" s="27"/>
      <c r="BKE354" s="27"/>
      <c r="BKF354" s="27"/>
      <c r="BKG354" s="27"/>
      <c r="BKH354" s="27"/>
      <c r="BKI354" s="27"/>
      <c r="BKJ354" s="27"/>
      <c r="BKK354" s="27"/>
      <c r="BKL354" s="27"/>
      <c r="BKM354" s="27"/>
      <c r="BKN354" s="27"/>
      <c r="BKO354" s="27"/>
      <c r="BKP354" s="27"/>
      <c r="BKQ354" s="27"/>
      <c r="BKR354" s="27"/>
      <c r="BKS354" s="27"/>
      <c r="BKT354" s="27"/>
      <c r="BKU354" s="27"/>
      <c r="BKV354" s="27"/>
      <c r="BKW354" s="27"/>
      <c r="BKX354" s="27"/>
      <c r="BKY354" s="27"/>
      <c r="BKZ354" s="27"/>
      <c r="BLA354" s="27"/>
      <c r="BLB354" s="27"/>
      <c r="BLC354" s="27"/>
      <c r="BLD354" s="27"/>
      <c r="BLE354" s="27"/>
      <c r="BLF354" s="27"/>
      <c r="BLG354" s="27"/>
      <c r="BLH354" s="27"/>
      <c r="BLI354" s="27"/>
      <c r="BLJ354" s="27"/>
      <c r="BLK354" s="27"/>
      <c r="BLL354" s="27"/>
      <c r="BLM354" s="27"/>
      <c r="BLN354" s="27"/>
      <c r="BLO354" s="27"/>
      <c r="BLP354" s="27"/>
      <c r="BLQ354" s="27"/>
      <c r="BLR354" s="27"/>
      <c r="BLS354" s="27"/>
      <c r="BLT354" s="27"/>
      <c r="BLU354" s="27"/>
      <c r="BLV354" s="27"/>
      <c r="BLW354" s="27"/>
      <c r="BLX354" s="27"/>
      <c r="BLY354" s="27"/>
      <c r="BLZ354" s="27"/>
      <c r="BMA354" s="27"/>
      <c r="BMB354" s="27"/>
      <c r="BMC354" s="27"/>
      <c r="BMD354" s="27"/>
      <c r="BME354" s="27"/>
      <c r="BMF354" s="27"/>
      <c r="BMG354" s="27"/>
      <c r="BMH354" s="27"/>
      <c r="BMI354" s="27"/>
      <c r="BMJ354" s="27"/>
      <c r="BMK354" s="27"/>
      <c r="BML354" s="27"/>
      <c r="BMM354" s="27"/>
      <c r="BMN354" s="27"/>
      <c r="BMO354" s="27"/>
      <c r="BMP354" s="27"/>
      <c r="BMQ354" s="27"/>
      <c r="BMR354" s="27"/>
      <c r="BMS354" s="27"/>
      <c r="BMT354" s="27"/>
      <c r="BMU354" s="27"/>
      <c r="BMV354" s="27"/>
      <c r="BMW354" s="27"/>
      <c r="BMX354" s="27"/>
      <c r="BMY354" s="27"/>
      <c r="BMZ354" s="27"/>
      <c r="BNA354" s="27"/>
      <c r="BNB354" s="27"/>
      <c r="BNC354" s="27"/>
      <c r="BND354" s="27"/>
      <c r="BNE354" s="27"/>
      <c r="BNF354" s="27"/>
      <c r="BNG354" s="27"/>
      <c r="BNH354" s="27"/>
      <c r="BNI354" s="27"/>
      <c r="BNJ354" s="27"/>
      <c r="BNK354" s="27"/>
      <c r="BNL354" s="27"/>
      <c r="BNM354" s="27"/>
      <c r="BNN354" s="27"/>
      <c r="BNO354" s="27"/>
      <c r="BNP354" s="27"/>
      <c r="BNQ354" s="27"/>
      <c r="BNR354" s="27"/>
      <c r="BNS354" s="27"/>
      <c r="BNT354" s="27"/>
      <c r="BNU354" s="27"/>
      <c r="BNV354" s="27"/>
      <c r="BNW354" s="27"/>
      <c r="BNX354" s="27"/>
      <c r="BNY354" s="27"/>
      <c r="BNZ354" s="27"/>
      <c r="BOA354" s="27"/>
      <c r="BOB354" s="27"/>
      <c r="BOC354" s="27"/>
      <c r="BOD354" s="27"/>
      <c r="BOE354" s="27"/>
      <c r="BOF354" s="27"/>
      <c r="BOG354" s="27"/>
      <c r="BOH354" s="27"/>
      <c r="BOI354" s="27"/>
      <c r="BOJ354" s="27"/>
      <c r="BOK354" s="27"/>
      <c r="BOL354" s="27"/>
      <c r="BOM354" s="27"/>
      <c r="BON354" s="27"/>
      <c r="BOO354" s="27"/>
      <c r="BOP354" s="27"/>
      <c r="BOQ354" s="27"/>
      <c r="BOR354" s="27"/>
      <c r="BOS354" s="27"/>
      <c r="BOT354" s="27"/>
      <c r="BOU354" s="27"/>
      <c r="BOV354" s="27"/>
      <c r="BOW354" s="27"/>
      <c r="BOX354" s="27"/>
      <c r="BOY354" s="27"/>
      <c r="BOZ354" s="27"/>
      <c r="BPA354" s="27"/>
      <c r="BPB354" s="27"/>
      <c r="BPC354" s="27"/>
      <c r="BPD354" s="27"/>
      <c r="BPE354" s="27"/>
      <c r="BPF354" s="27"/>
      <c r="BPG354" s="27"/>
      <c r="BPH354" s="27"/>
      <c r="BPI354" s="27"/>
      <c r="BPJ354" s="27"/>
      <c r="BPK354" s="27"/>
      <c r="BPL354" s="27"/>
      <c r="BPM354" s="27"/>
      <c r="BPN354" s="27"/>
      <c r="BPO354" s="27"/>
      <c r="BPP354" s="27"/>
      <c r="BPQ354" s="27"/>
      <c r="BPR354" s="27"/>
      <c r="BPS354" s="27"/>
      <c r="BPT354" s="27"/>
      <c r="BPU354" s="27"/>
      <c r="BPV354" s="27"/>
      <c r="BPW354" s="27"/>
      <c r="BPX354" s="27"/>
      <c r="BPY354" s="27"/>
      <c r="BPZ354" s="27"/>
      <c r="BQA354" s="27"/>
      <c r="BQB354" s="27"/>
      <c r="BQC354" s="27"/>
      <c r="BQD354" s="27"/>
      <c r="BQE354" s="27"/>
      <c r="BQF354" s="27"/>
      <c r="BQG354" s="27"/>
      <c r="BQH354" s="27"/>
      <c r="BQI354" s="27"/>
      <c r="BQJ354" s="27"/>
      <c r="BQK354" s="27"/>
      <c r="BQL354" s="27"/>
      <c r="BQM354" s="27"/>
      <c r="BQN354" s="27"/>
      <c r="BQO354" s="27"/>
      <c r="BQP354" s="27"/>
      <c r="BQQ354" s="27"/>
      <c r="BQR354" s="27"/>
      <c r="BQS354" s="27"/>
      <c r="BQT354" s="27"/>
      <c r="BQU354" s="27"/>
      <c r="BQV354" s="27"/>
      <c r="BQW354" s="27"/>
      <c r="BQX354" s="27"/>
      <c r="BQY354" s="27"/>
      <c r="BQZ354" s="27"/>
      <c r="BRA354" s="27"/>
      <c r="BRB354" s="27"/>
      <c r="BRC354" s="27"/>
      <c r="BRD354" s="27"/>
      <c r="BRE354" s="27"/>
      <c r="BRF354" s="27"/>
      <c r="BRG354" s="27"/>
      <c r="BRH354" s="27"/>
      <c r="BRI354" s="27"/>
      <c r="BRJ354" s="27"/>
      <c r="BRK354" s="27"/>
      <c r="BRL354" s="27"/>
      <c r="BRM354" s="27"/>
      <c r="BRN354" s="27"/>
      <c r="BRO354" s="27"/>
      <c r="BRP354" s="27"/>
      <c r="BRQ354" s="27"/>
      <c r="BRR354" s="27"/>
      <c r="BRS354" s="27"/>
      <c r="BRT354" s="27"/>
      <c r="BRU354" s="27"/>
      <c r="BRV354" s="27"/>
      <c r="BRW354" s="27"/>
      <c r="BRX354" s="27"/>
      <c r="BRY354" s="27"/>
      <c r="BRZ354" s="27"/>
      <c r="BSA354" s="27"/>
      <c r="BSB354" s="27"/>
      <c r="BSC354" s="27"/>
      <c r="BSD354" s="27"/>
      <c r="BSE354" s="27"/>
      <c r="BSF354" s="27"/>
      <c r="BSG354" s="27"/>
      <c r="BSH354" s="27"/>
      <c r="BSI354" s="27"/>
      <c r="BSJ354" s="27"/>
      <c r="BSK354" s="27"/>
      <c r="BSL354" s="27"/>
      <c r="BSM354" s="27"/>
      <c r="BSN354" s="27"/>
      <c r="BSO354" s="27"/>
      <c r="BSP354" s="27"/>
      <c r="BSQ354" s="27"/>
      <c r="BSR354" s="27"/>
      <c r="BSS354" s="27"/>
      <c r="BST354" s="27"/>
      <c r="BSU354" s="27"/>
      <c r="BSV354" s="27"/>
      <c r="BSW354" s="27"/>
      <c r="BSX354" s="27"/>
      <c r="BSY354" s="27"/>
      <c r="BSZ354" s="27"/>
      <c r="BTA354" s="27"/>
      <c r="BTB354" s="27"/>
      <c r="BTC354" s="27"/>
      <c r="BTD354" s="27"/>
      <c r="BTE354" s="27"/>
      <c r="BTF354" s="27"/>
      <c r="BTG354" s="27"/>
      <c r="BTH354" s="27"/>
      <c r="BTI354" s="27"/>
      <c r="BTJ354" s="27"/>
      <c r="BTK354" s="27"/>
      <c r="BTL354" s="27"/>
      <c r="BTM354" s="27"/>
      <c r="BTN354" s="27"/>
      <c r="BTO354" s="27"/>
      <c r="BTP354" s="27"/>
      <c r="BTQ354" s="27"/>
      <c r="BTR354" s="27"/>
      <c r="BTS354" s="27"/>
      <c r="BTT354" s="27"/>
      <c r="BTU354" s="27"/>
      <c r="BTV354" s="27"/>
      <c r="BTW354" s="27"/>
      <c r="BTX354" s="27"/>
      <c r="BTY354" s="27"/>
      <c r="BTZ354" s="27"/>
      <c r="BUA354" s="27"/>
      <c r="BUB354" s="27"/>
      <c r="BUC354" s="27"/>
      <c r="BUD354" s="27"/>
      <c r="BUE354" s="27"/>
      <c r="BUF354" s="27"/>
      <c r="BUG354" s="27"/>
      <c r="BUH354" s="27"/>
      <c r="BUI354" s="27"/>
      <c r="BUJ354" s="27"/>
      <c r="BUK354" s="27"/>
      <c r="BUL354" s="27"/>
      <c r="BUM354" s="27"/>
      <c r="BUN354" s="27"/>
      <c r="BUO354" s="27"/>
      <c r="BUP354" s="27"/>
      <c r="BUQ354" s="27"/>
      <c r="BUR354" s="27"/>
      <c r="BUS354" s="27"/>
      <c r="BUT354" s="27"/>
      <c r="BUU354" s="27"/>
      <c r="BUV354" s="27"/>
      <c r="BUW354" s="27"/>
      <c r="BUX354" s="27"/>
      <c r="BUY354" s="27"/>
      <c r="BUZ354" s="27"/>
      <c r="BVA354" s="27"/>
      <c r="BVB354" s="27"/>
      <c r="BVC354" s="27"/>
      <c r="BVD354" s="27"/>
      <c r="BVE354" s="27"/>
      <c r="BVF354" s="27"/>
      <c r="BVG354" s="27"/>
      <c r="BVH354" s="27"/>
      <c r="BVI354" s="27"/>
      <c r="BVJ354" s="27"/>
      <c r="BVK354" s="27"/>
      <c r="BVL354" s="27"/>
      <c r="BVM354" s="27"/>
      <c r="BVN354" s="27"/>
      <c r="BVO354" s="27"/>
      <c r="BVP354" s="27"/>
      <c r="BVQ354" s="27"/>
      <c r="BVR354" s="27"/>
      <c r="BVS354" s="27"/>
      <c r="BVT354" s="27"/>
      <c r="BVU354" s="27"/>
      <c r="BVV354" s="27"/>
      <c r="BVW354" s="27"/>
      <c r="BVX354" s="27"/>
      <c r="BVY354" s="27"/>
      <c r="BVZ354" s="27"/>
      <c r="BWA354" s="27"/>
      <c r="BWB354" s="27"/>
      <c r="BWC354" s="27"/>
      <c r="BWD354" s="27"/>
      <c r="BWE354" s="27"/>
      <c r="BWF354" s="27"/>
      <c r="BWG354" s="27"/>
      <c r="BWH354" s="27"/>
      <c r="BWI354" s="27"/>
      <c r="BWJ354" s="27"/>
      <c r="BWK354" s="27"/>
      <c r="BWL354" s="27"/>
      <c r="BWM354" s="27"/>
      <c r="BWN354" s="27"/>
      <c r="BWO354" s="27"/>
      <c r="BWP354" s="27"/>
      <c r="BWQ354" s="27"/>
      <c r="BWR354" s="27"/>
      <c r="BWS354" s="27"/>
      <c r="BWT354" s="27"/>
      <c r="BWU354" s="27"/>
      <c r="BWV354" s="27"/>
      <c r="BWW354" s="27"/>
      <c r="BWX354" s="27"/>
      <c r="BWY354" s="27"/>
      <c r="BWZ354" s="27"/>
      <c r="BXA354" s="27"/>
      <c r="BXB354" s="27"/>
      <c r="BXC354" s="27"/>
      <c r="BXD354" s="27"/>
      <c r="BXE354" s="27"/>
      <c r="BXF354" s="27"/>
      <c r="BXG354" s="27"/>
      <c r="BXH354" s="27"/>
      <c r="BXI354" s="27"/>
      <c r="BXJ354" s="27"/>
      <c r="BXK354" s="27"/>
      <c r="BXL354" s="27"/>
      <c r="BXM354" s="27"/>
      <c r="BXN354" s="27"/>
      <c r="BXO354" s="27"/>
      <c r="BXP354" s="27"/>
      <c r="BXQ354" s="27"/>
      <c r="BXR354" s="27"/>
      <c r="BXS354" s="27"/>
      <c r="BXT354" s="27"/>
      <c r="BXU354" s="27"/>
      <c r="BXV354" s="27"/>
      <c r="BXW354" s="27"/>
      <c r="BXX354" s="27"/>
      <c r="BXY354" s="27"/>
      <c r="BXZ354" s="27"/>
      <c r="BYA354" s="27"/>
      <c r="BYB354" s="27"/>
      <c r="BYC354" s="27"/>
      <c r="BYD354" s="27"/>
      <c r="BYE354" s="27"/>
      <c r="BYF354" s="27"/>
      <c r="BYG354" s="27"/>
      <c r="BYH354" s="27"/>
      <c r="BYI354" s="27"/>
      <c r="BYJ354" s="27"/>
      <c r="BYK354" s="27"/>
      <c r="BYL354" s="27"/>
      <c r="BYM354" s="27"/>
      <c r="BYN354" s="27"/>
      <c r="BYO354" s="27"/>
      <c r="BYP354" s="27"/>
      <c r="BYQ354" s="27"/>
      <c r="BYR354" s="27"/>
      <c r="BYS354" s="27"/>
      <c r="BYT354" s="27"/>
      <c r="BYU354" s="27"/>
      <c r="BYV354" s="27"/>
      <c r="BYW354" s="27"/>
      <c r="BYX354" s="27"/>
      <c r="BYY354" s="27"/>
      <c r="BYZ354" s="27"/>
      <c r="BZA354" s="27"/>
      <c r="BZB354" s="27"/>
      <c r="BZC354" s="27"/>
      <c r="BZD354" s="27"/>
      <c r="BZE354" s="27"/>
      <c r="BZF354" s="27"/>
      <c r="BZG354" s="27"/>
      <c r="BZH354" s="27"/>
      <c r="BZI354" s="27"/>
      <c r="BZJ354" s="27"/>
      <c r="BZK354" s="27"/>
      <c r="BZL354" s="27"/>
      <c r="BZM354" s="27"/>
      <c r="BZN354" s="27"/>
      <c r="BZO354" s="27"/>
      <c r="BZP354" s="27"/>
      <c r="BZQ354" s="27"/>
      <c r="BZR354" s="27"/>
      <c r="BZS354" s="27"/>
      <c r="BZT354" s="27"/>
      <c r="BZU354" s="27"/>
      <c r="BZV354" s="27"/>
      <c r="BZW354" s="27"/>
      <c r="BZX354" s="27"/>
      <c r="BZY354" s="27"/>
      <c r="BZZ354" s="27"/>
      <c r="CAA354" s="27"/>
      <c r="CAB354" s="27"/>
      <c r="CAC354" s="27"/>
      <c r="CAD354" s="27"/>
      <c r="CAE354" s="27"/>
      <c r="CAF354" s="27"/>
      <c r="CAG354" s="27"/>
      <c r="CAH354" s="27"/>
      <c r="CAI354" s="27"/>
      <c r="CAJ354" s="27"/>
      <c r="CAK354" s="27"/>
      <c r="CAL354" s="27"/>
      <c r="CAM354" s="27"/>
      <c r="CAN354" s="27"/>
      <c r="CAO354" s="27"/>
      <c r="CAP354" s="27"/>
      <c r="CAQ354" s="27"/>
      <c r="CAR354" s="27"/>
      <c r="CAS354" s="27"/>
      <c r="CAT354" s="27"/>
      <c r="CAU354" s="27"/>
      <c r="CAV354" s="27"/>
      <c r="CAW354" s="27"/>
      <c r="CAX354" s="27"/>
      <c r="CAY354" s="27"/>
      <c r="CAZ354" s="27"/>
      <c r="CBA354" s="27"/>
      <c r="CBB354" s="27"/>
      <c r="CBC354" s="27"/>
      <c r="CBD354" s="27"/>
      <c r="CBE354" s="27"/>
      <c r="CBF354" s="27"/>
      <c r="CBG354" s="27"/>
      <c r="CBH354" s="27"/>
      <c r="CBI354" s="27"/>
      <c r="CBJ354" s="27"/>
      <c r="CBK354" s="27"/>
      <c r="CBL354" s="27"/>
      <c r="CBM354" s="27"/>
      <c r="CBN354" s="27"/>
      <c r="CBO354" s="27"/>
      <c r="CBP354" s="27"/>
      <c r="CBQ354" s="27"/>
      <c r="CBR354" s="27"/>
      <c r="CBS354" s="27"/>
      <c r="CBT354" s="27"/>
      <c r="CBU354" s="27"/>
      <c r="CBV354" s="27"/>
      <c r="CBW354" s="27"/>
      <c r="CBX354" s="27"/>
      <c r="CBY354" s="27"/>
      <c r="CBZ354" s="27"/>
      <c r="CCA354" s="27"/>
      <c r="CCB354" s="27"/>
      <c r="CCC354" s="27"/>
      <c r="CCD354" s="27"/>
      <c r="CCE354" s="27"/>
      <c r="CCF354" s="27"/>
      <c r="CCG354" s="27"/>
      <c r="CCH354" s="27"/>
      <c r="CCI354" s="27"/>
      <c r="CCJ354" s="27"/>
      <c r="CCK354" s="27"/>
      <c r="CCL354" s="27"/>
      <c r="CCM354" s="27"/>
      <c r="CCN354" s="27"/>
      <c r="CCO354" s="27"/>
      <c r="CCP354" s="27"/>
      <c r="CCQ354" s="27"/>
      <c r="CCR354" s="27"/>
      <c r="CCS354" s="27"/>
      <c r="CCT354" s="27"/>
      <c r="CCU354" s="27"/>
      <c r="CCV354" s="27"/>
      <c r="CCW354" s="27"/>
      <c r="CCX354" s="27"/>
      <c r="CCY354" s="27"/>
      <c r="CCZ354" s="27"/>
      <c r="CDA354" s="27"/>
      <c r="CDB354" s="27"/>
      <c r="CDC354" s="27"/>
      <c r="CDD354" s="27"/>
      <c r="CDE354" s="27"/>
      <c r="CDF354" s="27"/>
      <c r="CDG354" s="27"/>
      <c r="CDH354" s="27"/>
      <c r="CDI354" s="27"/>
      <c r="CDJ354" s="27"/>
      <c r="CDK354" s="27"/>
      <c r="CDL354" s="27"/>
      <c r="CDM354" s="27"/>
      <c r="CDN354" s="27"/>
      <c r="CDO354" s="27"/>
      <c r="CDP354" s="27"/>
      <c r="CDQ354" s="27"/>
      <c r="CDR354" s="27"/>
      <c r="CDS354" s="27"/>
      <c r="CDT354" s="27"/>
      <c r="CDU354" s="27"/>
      <c r="CDV354" s="27"/>
      <c r="CDW354" s="27"/>
      <c r="CDX354" s="27"/>
      <c r="CDY354" s="27"/>
      <c r="CDZ354" s="27"/>
      <c r="CEA354" s="27"/>
      <c r="CEB354" s="27"/>
      <c r="CEC354" s="27"/>
      <c r="CED354" s="27"/>
      <c r="CEE354" s="27"/>
      <c r="CEF354" s="27"/>
      <c r="CEG354" s="27"/>
      <c r="CEH354" s="27"/>
      <c r="CEI354" s="27"/>
      <c r="CEJ354" s="27"/>
      <c r="CEK354" s="27"/>
      <c r="CEL354" s="27"/>
      <c r="CEM354" s="27"/>
      <c r="CEN354" s="27"/>
      <c r="CEO354" s="27"/>
      <c r="CEP354" s="27"/>
      <c r="CEQ354" s="27"/>
      <c r="CER354" s="27"/>
      <c r="CES354" s="27"/>
      <c r="CET354" s="27"/>
      <c r="CEU354" s="27"/>
      <c r="CEV354" s="27"/>
      <c r="CEW354" s="27"/>
      <c r="CEX354" s="27"/>
      <c r="CEY354" s="27"/>
      <c r="CEZ354" s="27"/>
      <c r="CFA354" s="27"/>
      <c r="CFB354" s="27"/>
      <c r="CFC354" s="27"/>
      <c r="CFD354" s="27"/>
      <c r="CFE354" s="27"/>
      <c r="CFF354" s="27"/>
      <c r="CFG354" s="27"/>
      <c r="CFH354" s="27"/>
      <c r="CFI354" s="27"/>
      <c r="CFJ354" s="27"/>
      <c r="CFK354" s="27"/>
      <c r="CFL354" s="27"/>
      <c r="CFM354" s="27"/>
      <c r="CFN354" s="27"/>
      <c r="CFO354" s="27"/>
      <c r="CFP354" s="27"/>
      <c r="CFQ354" s="27"/>
      <c r="CFR354" s="27"/>
      <c r="CFS354" s="27"/>
      <c r="CFT354" s="27"/>
      <c r="CFU354" s="27"/>
      <c r="CFV354" s="27"/>
      <c r="CFW354" s="27"/>
      <c r="CFX354" s="27"/>
      <c r="CFY354" s="27"/>
      <c r="CFZ354" s="27"/>
      <c r="CGA354" s="27"/>
      <c r="CGB354" s="27"/>
      <c r="CGC354" s="27"/>
      <c r="CGD354" s="27"/>
      <c r="CGE354" s="27"/>
      <c r="CGF354" s="27"/>
      <c r="CGG354" s="27"/>
      <c r="CGH354" s="27"/>
      <c r="CGI354" s="27"/>
      <c r="CGJ354" s="27"/>
      <c r="CGK354" s="27"/>
      <c r="CGL354" s="27"/>
      <c r="CGM354" s="27"/>
      <c r="CGN354" s="27"/>
      <c r="CGO354" s="27"/>
      <c r="CGP354" s="27"/>
      <c r="CGQ354" s="27"/>
      <c r="CGR354" s="27"/>
      <c r="CGS354" s="27"/>
      <c r="CGT354" s="27"/>
      <c r="CGU354" s="27"/>
      <c r="CGV354" s="27"/>
      <c r="CGW354" s="27"/>
      <c r="CGX354" s="27"/>
      <c r="CGY354" s="27"/>
      <c r="CGZ354" s="27"/>
      <c r="CHA354" s="27"/>
      <c r="CHB354" s="27"/>
      <c r="CHC354" s="27"/>
      <c r="CHD354" s="27"/>
      <c r="CHE354" s="27"/>
      <c r="CHF354" s="27"/>
      <c r="CHG354" s="27"/>
      <c r="CHH354" s="27"/>
      <c r="CHI354" s="27"/>
      <c r="CHJ354" s="27"/>
      <c r="CHK354" s="27"/>
      <c r="CHL354" s="27"/>
      <c r="CHM354" s="27"/>
      <c r="CHN354" s="27"/>
      <c r="CHO354" s="27"/>
      <c r="CHP354" s="27"/>
      <c r="CHQ354" s="27"/>
      <c r="CHR354" s="27"/>
      <c r="CHS354" s="27"/>
      <c r="CHT354" s="27"/>
      <c r="CHU354" s="27"/>
      <c r="CHV354" s="27"/>
      <c r="CHW354" s="27"/>
      <c r="CHX354" s="27"/>
      <c r="CHY354" s="27"/>
      <c r="CHZ354" s="27"/>
      <c r="CIA354" s="27"/>
      <c r="CIB354" s="27"/>
      <c r="CIC354" s="27"/>
      <c r="CID354" s="27"/>
      <c r="CIE354" s="27"/>
      <c r="CIF354" s="27"/>
      <c r="CIG354" s="27"/>
      <c r="CIH354" s="27"/>
      <c r="CII354" s="27"/>
      <c r="CIJ354" s="27"/>
      <c r="CIK354" s="27"/>
      <c r="CIL354" s="27"/>
      <c r="CIM354" s="27"/>
      <c r="CIN354" s="27"/>
      <c r="CIO354" s="27"/>
      <c r="CIP354" s="27"/>
      <c r="CIQ354" s="27"/>
      <c r="CIR354" s="27"/>
      <c r="CIS354" s="27"/>
      <c r="CIT354" s="27"/>
      <c r="CIU354" s="27"/>
      <c r="CIV354" s="27"/>
      <c r="CIW354" s="27"/>
      <c r="CIX354" s="27"/>
      <c r="CIY354" s="27"/>
      <c r="CIZ354" s="27"/>
      <c r="CJA354" s="27"/>
      <c r="CJB354" s="27"/>
      <c r="CJC354" s="27"/>
      <c r="CJD354" s="27"/>
      <c r="CJE354" s="27"/>
      <c r="CJF354" s="27"/>
      <c r="CJG354" s="27"/>
      <c r="CJH354" s="27"/>
      <c r="CJI354" s="27"/>
      <c r="CJJ354" s="27"/>
      <c r="CJK354" s="27"/>
      <c r="CJL354" s="27"/>
      <c r="CJM354" s="27"/>
      <c r="CJN354" s="27"/>
      <c r="CJO354" s="27"/>
      <c r="CJP354" s="27"/>
      <c r="CJQ354" s="27"/>
      <c r="CJR354" s="27"/>
      <c r="CJS354" s="27"/>
      <c r="CJT354" s="27"/>
      <c r="CJU354" s="27"/>
      <c r="CJV354" s="27"/>
      <c r="CJW354" s="27"/>
      <c r="CJX354" s="27"/>
      <c r="CJY354" s="27"/>
      <c r="CJZ354" s="27"/>
      <c r="CKA354" s="27"/>
      <c r="CKB354" s="27"/>
      <c r="CKC354" s="27"/>
      <c r="CKD354" s="27"/>
      <c r="CKE354" s="27"/>
      <c r="CKF354" s="27"/>
      <c r="CKG354" s="27"/>
      <c r="CKH354" s="27"/>
      <c r="CKI354" s="27"/>
      <c r="CKJ354" s="27"/>
      <c r="CKK354" s="27"/>
      <c r="CKL354" s="27"/>
      <c r="CKM354" s="27"/>
      <c r="CKN354" s="27"/>
      <c r="CKO354" s="27"/>
      <c r="CKP354" s="27"/>
      <c r="CKQ354" s="27"/>
      <c r="CKR354" s="27"/>
      <c r="CKS354" s="27"/>
      <c r="CKT354" s="27"/>
      <c r="CKU354" s="27"/>
      <c r="CKV354" s="27"/>
      <c r="CKW354" s="27"/>
      <c r="CKX354" s="27"/>
      <c r="CKY354" s="27"/>
      <c r="CKZ354" s="27"/>
      <c r="CLA354" s="27"/>
      <c r="CLB354" s="27"/>
      <c r="CLC354" s="27"/>
      <c r="CLD354" s="27"/>
      <c r="CLE354" s="27"/>
      <c r="CLF354" s="27"/>
      <c r="CLG354" s="27"/>
      <c r="CLH354" s="27"/>
      <c r="CLI354" s="27"/>
      <c r="CLJ354" s="27"/>
      <c r="CLK354" s="27"/>
      <c r="CLL354" s="27"/>
      <c r="CLM354" s="27"/>
      <c r="CLN354" s="27"/>
      <c r="CLO354" s="27"/>
      <c r="CLP354" s="27"/>
      <c r="CLQ354" s="27"/>
      <c r="CLR354" s="27"/>
      <c r="CLS354" s="27"/>
      <c r="CLT354" s="27"/>
      <c r="CLU354" s="27"/>
      <c r="CLV354" s="27"/>
      <c r="CLW354" s="27"/>
      <c r="CLX354" s="27"/>
      <c r="CLY354" s="27"/>
      <c r="CLZ354" s="27"/>
      <c r="CMA354" s="27"/>
      <c r="CMB354" s="27"/>
      <c r="CMC354" s="27"/>
      <c r="CMD354" s="27"/>
      <c r="CME354" s="27"/>
      <c r="CMF354" s="27"/>
      <c r="CMG354" s="27"/>
      <c r="CMH354" s="27"/>
      <c r="CMI354" s="27"/>
      <c r="CMJ354" s="27"/>
      <c r="CMK354" s="27"/>
      <c r="CML354" s="27"/>
      <c r="CMM354" s="27"/>
      <c r="CMN354" s="27"/>
      <c r="CMO354" s="27"/>
      <c r="CMP354" s="27"/>
      <c r="CMQ354" s="27"/>
      <c r="CMR354" s="27"/>
      <c r="CMS354" s="27"/>
      <c r="CMT354" s="27"/>
      <c r="CMU354" s="27"/>
      <c r="CMV354" s="27"/>
      <c r="CMW354" s="27"/>
      <c r="CMX354" s="27"/>
      <c r="CMY354" s="27"/>
      <c r="CMZ354" s="27"/>
      <c r="CNA354" s="27"/>
      <c r="CNB354" s="27"/>
      <c r="CNC354" s="27"/>
      <c r="CND354" s="27"/>
      <c r="CNE354" s="27"/>
      <c r="CNF354" s="27"/>
      <c r="CNG354" s="27"/>
      <c r="CNH354" s="27"/>
      <c r="CNI354" s="27"/>
      <c r="CNJ354" s="27"/>
      <c r="CNK354" s="27"/>
      <c r="CNL354" s="27"/>
      <c r="CNM354" s="27"/>
      <c r="CNN354" s="27"/>
      <c r="CNO354" s="27"/>
      <c r="CNP354" s="27"/>
      <c r="CNQ354" s="27"/>
      <c r="CNR354" s="27"/>
      <c r="CNS354" s="27"/>
      <c r="CNT354" s="27"/>
      <c r="CNU354" s="27"/>
      <c r="CNV354" s="27"/>
      <c r="CNW354" s="27"/>
      <c r="CNX354" s="27"/>
      <c r="CNY354" s="27"/>
      <c r="CNZ354" s="27"/>
      <c r="COA354" s="27"/>
      <c r="COB354" s="27"/>
      <c r="COC354" s="27"/>
      <c r="COD354" s="27"/>
      <c r="COE354" s="27"/>
      <c r="COF354" s="27"/>
      <c r="COG354" s="27"/>
      <c r="COH354" s="27"/>
      <c r="COI354" s="27"/>
      <c r="COJ354" s="27"/>
      <c r="COK354" s="27"/>
      <c r="COL354" s="27"/>
      <c r="COM354" s="27"/>
      <c r="CON354" s="27"/>
      <c r="COO354" s="27"/>
      <c r="COP354" s="27"/>
      <c r="COQ354" s="27"/>
      <c r="COR354" s="27"/>
      <c r="COS354" s="27"/>
      <c r="COT354" s="27"/>
      <c r="COU354" s="27"/>
      <c r="COV354" s="27"/>
      <c r="COW354" s="27"/>
      <c r="COX354" s="27"/>
      <c r="COY354" s="27"/>
      <c r="COZ354" s="27"/>
      <c r="CPA354" s="27"/>
      <c r="CPB354" s="27"/>
      <c r="CPC354" s="27"/>
      <c r="CPD354" s="27"/>
      <c r="CPE354" s="27"/>
      <c r="CPF354" s="27"/>
      <c r="CPG354" s="27"/>
      <c r="CPH354" s="27"/>
      <c r="CPI354" s="27"/>
      <c r="CPJ354" s="27"/>
      <c r="CPK354" s="27"/>
      <c r="CPL354" s="27"/>
      <c r="CPM354" s="27"/>
      <c r="CPN354" s="27"/>
      <c r="CPO354" s="27"/>
      <c r="CPP354" s="27"/>
      <c r="CPQ354" s="27"/>
      <c r="CPR354" s="27"/>
      <c r="CPS354" s="27"/>
      <c r="CPT354" s="27"/>
      <c r="CPU354" s="27"/>
      <c r="CPV354" s="27"/>
      <c r="CPW354" s="27"/>
      <c r="CPX354" s="27"/>
      <c r="CPY354" s="27"/>
      <c r="CPZ354" s="27"/>
      <c r="CQA354" s="27"/>
      <c r="CQB354" s="27"/>
      <c r="CQC354" s="27"/>
      <c r="CQD354" s="27"/>
      <c r="CQE354" s="27"/>
      <c r="CQF354" s="27"/>
      <c r="CQG354" s="27"/>
      <c r="CQH354" s="27"/>
      <c r="CQI354" s="27"/>
      <c r="CQJ354" s="27"/>
      <c r="CQK354" s="27"/>
      <c r="CQL354" s="27"/>
      <c r="CQM354" s="27"/>
      <c r="CQN354" s="27"/>
      <c r="CQO354" s="27"/>
      <c r="CQP354" s="27"/>
      <c r="CQQ354" s="27"/>
      <c r="CQR354" s="27"/>
      <c r="CQS354" s="27"/>
      <c r="CQT354" s="27"/>
      <c r="CQU354" s="27"/>
      <c r="CQV354" s="27"/>
      <c r="CQW354" s="27"/>
      <c r="CQX354" s="27"/>
      <c r="CQY354" s="27"/>
      <c r="CQZ354" s="27"/>
      <c r="CRA354" s="27"/>
      <c r="CRB354" s="27"/>
      <c r="CRC354" s="27"/>
      <c r="CRD354" s="27"/>
      <c r="CRE354" s="27"/>
      <c r="CRF354" s="27"/>
      <c r="CRG354" s="27"/>
      <c r="CRH354" s="27"/>
      <c r="CRI354" s="27"/>
      <c r="CRJ354" s="27"/>
      <c r="CRK354" s="27"/>
      <c r="CRL354" s="27"/>
      <c r="CRM354" s="27"/>
      <c r="CRN354" s="27"/>
      <c r="CRO354" s="27"/>
      <c r="CRP354" s="27"/>
      <c r="CRQ354" s="27"/>
      <c r="CRR354" s="27"/>
      <c r="CRS354" s="27"/>
      <c r="CRT354" s="27"/>
      <c r="CRU354" s="27"/>
      <c r="CRV354" s="27"/>
      <c r="CRW354" s="27"/>
      <c r="CRX354" s="27"/>
      <c r="CRY354" s="27"/>
      <c r="CRZ354" s="27"/>
      <c r="CSA354" s="27"/>
      <c r="CSB354" s="27"/>
      <c r="CSC354" s="27"/>
      <c r="CSD354" s="27"/>
      <c r="CSE354" s="27"/>
      <c r="CSF354" s="27"/>
      <c r="CSG354" s="27"/>
      <c r="CSH354" s="27"/>
      <c r="CSI354" s="27"/>
      <c r="CSJ354" s="27"/>
      <c r="CSK354" s="27"/>
      <c r="CSL354" s="27"/>
      <c r="CSM354" s="27"/>
      <c r="CSN354" s="27"/>
      <c r="CSO354" s="27"/>
      <c r="CSP354" s="27"/>
      <c r="CSQ354" s="27"/>
      <c r="CSR354" s="27"/>
      <c r="CSS354" s="27"/>
      <c r="CST354" s="27"/>
      <c r="CSU354" s="27"/>
      <c r="CSV354" s="27"/>
      <c r="CSW354" s="27"/>
      <c r="CSX354" s="27"/>
      <c r="CSY354" s="27"/>
      <c r="CSZ354" s="27"/>
      <c r="CTA354" s="27"/>
      <c r="CTB354" s="27"/>
      <c r="CTC354" s="27"/>
      <c r="CTD354" s="27"/>
      <c r="CTE354" s="27"/>
      <c r="CTF354" s="27"/>
      <c r="CTG354" s="27"/>
      <c r="CTH354" s="27"/>
      <c r="CTI354" s="27"/>
      <c r="CTJ354" s="27"/>
      <c r="CTK354" s="27"/>
      <c r="CTL354" s="27"/>
      <c r="CTM354" s="27"/>
      <c r="CTN354" s="27"/>
      <c r="CTO354" s="27"/>
      <c r="CTP354" s="27"/>
      <c r="CTQ354" s="27"/>
      <c r="CTR354" s="27"/>
      <c r="CTS354" s="27"/>
      <c r="CTT354" s="27"/>
      <c r="CTU354" s="27"/>
      <c r="CTV354" s="27"/>
      <c r="CTW354" s="27"/>
      <c r="CTX354" s="27"/>
      <c r="CTY354" s="27"/>
      <c r="CTZ354" s="27"/>
      <c r="CUA354" s="27"/>
      <c r="CUB354" s="27"/>
      <c r="CUC354" s="27"/>
      <c r="CUD354" s="27"/>
      <c r="CUE354" s="27"/>
      <c r="CUF354" s="27"/>
      <c r="CUG354" s="27"/>
      <c r="CUH354" s="27"/>
      <c r="CUI354" s="27"/>
      <c r="CUJ354" s="27"/>
      <c r="CUK354" s="27"/>
      <c r="CUL354" s="27"/>
      <c r="CUM354" s="27"/>
      <c r="CUN354" s="27"/>
      <c r="CUO354" s="27"/>
      <c r="CUP354" s="27"/>
      <c r="CUQ354" s="27"/>
      <c r="CUR354" s="27"/>
      <c r="CUS354" s="27"/>
      <c r="CUT354" s="27"/>
      <c r="CUU354" s="27"/>
      <c r="CUV354" s="27"/>
      <c r="CUW354" s="27"/>
      <c r="CUX354" s="27"/>
      <c r="CUY354" s="27"/>
      <c r="CUZ354" s="27"/>
      <c r="CVA354" s="27"/>
      <c r="CVB354" s="27"/>
      <c r="CVC354" s="27"/>
      <c r="CVD354" s="27"/>
      <c r="CVE354" s="27"/>
      <c r="CVF354" s="27"/>
      <c r="CVG354" s="27"/>
      <c r="CVH354" s="27"/>
      <c r="CVI354" s="27"/>
      <c r="CVJ354" s="27"/>
      <c r="CVK354" s="27"/>
      <c r="CVL354" s="27"/>
      <c r="CVM354" s="27"/>
      <c r="CVN354" s="27"/>
      <c r="CVO354" s="27"/>
      <c r="CVP354" s="27"/>
      <c r="CVQ354" s="27"/>
      <c r="CVR354" s="27"/>
      <c r="CVS354" s="27"/>
      <c r="CVT354" s="27"/>
      <c r="CVU354" s="27"/>
      <c r="CVV354" s="27"/>
      <c r="CVW354" s="27"/>
      <c r="CVX354" s="27"/>
      <c r="CVY354" s="27"/>
      <c r="CVZ354" s="27"/>
      <c r="CWA354" s="27"/>
      <c r="CWB354" s="27"/>
      <c r="CWC354" s="27"/>
      <c r="CWD354" s="27"/>
      <c r="CWE354" s="27"/>
      <c r="CWF354" s="27"/>
      <c r="CWG354" s="27"/>
      <c r="CWH354" s="27"/>
      <c r="CWI354" s="27"/>
      <c r="CWJ354" s="27"/>
      <c r="CWK354" s="27"/>
      <c r="CWL354" s="27"/>
      <c r="CWM354" s="27"/>
      <c r="CWN354" s="27"/>
      <c r="CWO354" s="27"/>
      <c r="CWP354" s="27"/>
      <c r="CWQ354" s="27"/>
      <c r="CWR354" s="27"/>
      <c r="CWS354" s="27"/>
      <c r="CWT354" s="27"/>
      <c r="CWU354" s="27"/>
      <c r="CWV354" s="27"/>
      <c r="CWW354" s="27"/>
      <c r="CWX354" s="27"/>
      <c r="CWY354" s="27"/>
      <c r="CWZ354" s="27"/>
      <c r="CXA354" s="27"/>
      <c r="CXB354" s="27"/>
      <c r="CXC354" s="27"/>
      <c r="CXD354" s="27"/>
      <c r="CXE354" s="27"/>
      <c r="CXF354" s="27"/>
      <c r="CXG354" s="27"/>
      <c r="CXH354" s="27"/>
      <c r="CXI354" s="27"/>
      <c r="CXJ354" s="27"/>
      <c r="CXK354" s="27"/>
      <c r="CXL354" s="27"/>
      <c r="CXM354" s="27"/>
      <c r="CXN354" s="27"/>
      <c r="CXO354" s="27"/>
      <c r="CXP354" s="27"/>
      <c r="CXQ354" s="27"/>
      <c r="CXR354" s="27"/>
      <c r="CXS354" s="27"/>
      <c r="CXT354" s="27"/>
      <c r="CXU354" s="27"/>
      <c r="CXV354" s="27"/>
      <c r="CXW354" s="27"/>
      <c r="CXX354" s="27"/>
      <c r="CXY354" s="27"/>
      <c r="CXZ354" s="27"/>
      <c r="CYA354" s="27"/>
      <c r="CYB354" s="27"/>
      <c r="CYC354" s="27"/>
      <c r="CYD354" s="27"/>
      <c r="CYE354" s="27"/>
      <c r="CYF354" s="27"/>
      <c r="CYG354" s="27"/>
      <c r="CYH354" s="27"/>
      <c r="CYI354" s="27"/>
      <c r="CYJ354" s="27"/>
      <c r="CYK354" s="27"/>
      <c r="CYL354" s="27"/>
      <c r="CYM354" s="27"/>
      <c r="CYN354" s="27"/>
      <c r="CYO354" s="27"/>
      <c r="CYP354" s="27"/>
      <c r="CYQ354" s="27"/>
      <c r="CYR354" s="27"/>
      <c r="CYS354" s="27"/>
      <c r="CYT354" s="27"/>
      <c r="CYU354" s="27"/>
      <c r="CYV354" s="27"/>
      <c r="CYW354" s="27"/>
      <c r="CYX354" s="27"/>
      <c r="CYY354" s="27"/>
      <c r="CYZ354" s="27"/>
      <c r="CZA354" s="27"/>
      <c r="CZB354" s="27"/>
      <c r="CZC354" s="27"/>
      <c r="CZD354" s="27"/>
      <c r="CZE354" s="27"/>
      <c r="CZF354" s="27"/>
      <c r="CZG354" s="27"/>
      <c r="CZH354" s="27"/>
      <c r="CZI354" s="27"/>
      <c r="CZJ354" s="27"/>
      <c r="CZK354" s="27"/>
      <c r="CZL354" s="27"/>
      <c r="CZM354" s="27"/>
      <c r="CZN354" s="27"/>
      <c r="CZO354" s="27"/>
      <c r="CZP354" s="27"/>
      <c r="CZQ354" s="27"/>
      <c r="CZR354" s="27"/>
      <c r="CZS354" s="27"/>
      <c r="CZT354" s="27"/>
      <c r="CZU354" s="27"/>
      <c r="CZV354" s="27"/>
      <c r="CZW354" s="27"/>
      <c r="CZX354" s="27"/>
      <c r="CZY354" s="27"/>
      <c r="CZZ354" s="27"/>
      <c r="DAA354" s="27"/>
      <c r="DAB354" s="27"/>
      <c r="DAC354" s="27"/>
      <c r="DAD354" s="27"/>
      <c r="DAE354" s="27"/>
      <c r="DAF354" s="27"/>
      <c r="DAG354" s="27"/>
      <c r="DAH354" s="27"/>
      <c r="DAI354" s="27"/>
      <c r="DAJ354" s="27"/>
      <c r="DAK354" s="27"/>
      <c r="DAL354" s="27"/>
      <c r="DAM354" s="27"/>
      <c r="DAN354" s="27"/>
      <c r="DAO354" s="27"/>
      <c r="DAP354" s="27"/>
      <c r="DAQ354" s="27"/>
      <c r="DAR354" s="27"/>
      <c r="DAS354" s="27"/>
      <c r="DAT354" s="27"/>
      <c r="DAU354" s="27"/>
      <c r="DAV354" s="27"/>
      <c r="DAW354" s="27"/>
      <c r="DAX354" s="27"/>
      <c r="DAY354" s="27"/>
      <c r="DAZ354" s="27"/>
      <c r="DBA354" s="27"/>
      <c r="DBB354" s="27"/>
      <c r="DBC354" s="27"/>
      <c r="DBD354" s="27"/>
      <c r="DBE354" s="27"/>
      <c r="DBF354" s="27"/>
      <c r="DBG354" s="27"/>
      <c r="DBH354" s="27"/>
      <c r="DBI354" s="27"/>
      <c r="DBJ354" s="27"/>
      <c r="DBK354" s="27"/>
      <c r="DBL354" s="27"/>
      <c r="DBM354" s="27"/>
      <c r="DBN354" s="27"/>
      <c r="DBO354" s="27"/>
      <c r="DBP354" s="27"/>
      <c r="DBQ354" s="27"/>
      <c r="DBR354" s="27"/>
      <c r="DBS354" s="27"/>
      <c r="DBT354" s="27"/>
      <c r="DBU354" s="27"/>
      <c r="DBV354" s="27"/>
      <c r="DBW354" s="27"/>
      <c r="DBX354" s="27"/>
      <c r="DBY354" s="27"/>
      <c r="DBZ354" s="27"/>
      <c r="DCA354" s="27"/>
      <c r="DCB354" s="27"/>
      <c r="DCC354" s="27"/>
      <c r="DCD354" s="27"/>
      <c r="DCE354" s="27"/>
      <c r="DCF354" s="27"/>
      <c r="DCG354" s="27"/>
      <c r="DCH354" s="27"/>
      <c r="DCI354" s="27"/>
      <c r="DCJ354" s="27"/>
      <c r="DCK354" s="27"/>
      <c r="DCL354" s="27"/>
      <c r="DCM354" s="27"/>
      <c r="DCN354" s="27"/>
      <c r="DCO354" s="27"/>
      <c r="DCP354" s="27"/>
      <c r="DCQ354" s="27"/>
      <c r="DCR354" s="27"/>
      <c r="DCS354" s="27"/>
      <c r="DCT354" s="27"/>
      <c r="DCU354" s="27"/>
      <c r="DCV354" s="27"/>
      <c r="DCW354" s="27"/>
      <c r="DCX354" s="27"/>
      <c r="DCY354" s="27"/>
      <c r="DCZ354" s="27"/>
      <c r="DDA354" s="27"/>
      <c r="DDB354" s="27"/>
      <c r="DDC354" s="27"/>
      <c r="DDD354" s="27"/>
      <c r="DDE354" s="27"/>
      <c r="DDF354" s="27"/>
      <c r="DDG354" s="27"/>
      <c r="DDH354" s="27"/>
      <c r="DDI354" s="27"/>
      <c r="DDJ354" s="27"/>
      <c r="DDK354" s="27"/>
      <c r="DDL354" s="27"/>
      <c r="DDM354" s="27"/>
      <c r="DDN354" s="27"/>
      <c r="DDO354" s="27"/>
      <c r="DDP354" s="27"/>
      <c r="DDQ354" s="27"/>
      <c r="DDR354" s="27"/>
      <c r="DDS354" s="27"/>
      <c r="DDT354" s="27"/>
      <c r="DDU354" s="27"/>
      <c r="DDV354" s="27"/>
      <c r="DDW354" s="27"/>
      <c r="DDX354" s="27"/>
      <c r="DDY354" s="27"/>
      <c r="DDZ354" s="27"/>
      <c r="DEA354" s="27"/>
      <c r="DEB354" s="27"/>
      <c r="DEC354" s="27"/>
      <c r="DED354" s="27"/>
      <c r="DEE354" s="27"/>
      <c r="DEF354" s="27"/>
      <c r="DEG354" s="27"/>
      <c r="DEH354" s="27"/>
      <c r="DEI354" s="27"/>
      <c r="DEJ354" s="27"/>
      <c r="DEK354" s="27"/>
      <c r="DEL354" s="27"/>
      <c r="DEM354" s="27"/>
      <c r="DEN354" s="27"/>
      <c r="DEO354" s="27"/>
      <c r="DEP354" s="27"/>
      <c r="DEQ354" s="27"/>
      <c r="DER354" s="27"/>
      <c r="DES354" s="27"/>
      <c r="DET354" s="27"/>
      <c r="DEU354" s="27"/>
      <c r="DEV354" s="27"/>
      <c r="DEW354" s="27"/>
      <c r="DEX354" s="27"/>
      <c r="DEY354" s="27"/>
      <c r="DEZ354" s="27"/>
      <c r="DFA354" s="27"/>
      <c r="DFB354" s="27"/>
      <c r="DFC354" s="27"/>
      <c r="DFD354" s="27"/>
      <c r="DFE354" s="27"/>
      <c r="DFF354" s="27"/>
      <c r="DFG354" s="27"/>
      <c r="DFH354" s="27"/>
      <c r="DFI354" s="27"/>
      <c r="DFJ354" s="27"/>
      <c r="DFK354" s="27"/>
      <c r="DFL354" s="27"/>
      <c r="DFM354" s="27"/>
      <c r="DFN354" s="27"/>
      <c r="DFO354" s="27"/>
      <c r="DFP354" s="27"/>
      <c r="DFQ354" s="27"/>
      <c r="DFR354" s="27"/>
      <c r="DFS354" s="27"/>
      <c r="DFT354" s="27"/>
      <c r="DFU354" s="27"/>
      <c r="DFV354" s="27"/>
      <c r="DFW354" s="27"/>
      <c r="DFX354" s="27"/>
      <c r="DFY354" s="27"/>
      <c r="DFZ354" s="27"/>
      <c r="DGA354" s="27"/>
      <c r="DGB354" s="27"/>
      <c r="DGC354" s="27"/>
      <c r="DGD354" s="27"/>
      <c r="DGE354" s="27"/>
      <c r="DGF354" s="27"/>
      <c r="DGG354" s="27"/>
      <c r="DGH354" s="27"/>
      <c r="DGI354" s="27"/>
      <c r="DGJ354" s="27"/>
      <c r="DGK354" s="27"/>
      <c r="DGL354" s="27"/>
      <c r="DGM354" s="27"/>
      <c r="DGN354" s="27"/>
      <c r="DGO354" s="27"/>
      <c r="DGP354" s="27"/>
      <c r="DGQ354" s="27"/>
      <c r="DGR354" s="27"/>
      <c r="DGS354" s="27"/>
      <c r="DGT354" s="27"/>
      <c r="DGU354" s="27"/>
      <c r="DGV354" s="27"/>
      <c r="DGW354" s="27"/>
      <c r="DGX354" s="27"/>
      <c r="DGY354" s="27"/>
      <c r="DGZ354" s="27"/>
      <c r="DHA354" s="27"/>
      <c r="DHB354" s="27"/>
      <c r="DHC354" s="27"/>
      <c r="DHD354" s="27"/>
      <c r="DHE354" s="27"/>
      <c r="DHF354" s="27"/>
      <c r="DHG354" s="27"/>
      <c r="DHH354" s="27"/>
      <c r="DHI354" s="27"/>
      <c r="DHJ354" s="27"/>
      <c r="DHK354" s="27"/>
      <c r="DHL354" s="27"/>
      <c r="DHM354" s="27"/>
      <c r="DHN354" s="27"/>
      <c r="DHO354" s="27"/>
      <c r="DHP354" s="27"/>
      <c r="DHQ354" s="27"/>
      <c r="DHR354" s="27"/>
      <c r="DHS354" s="27"/>
      <c r="DHT354" s="27"/>
      <c r="DHU354" s="27"/>
      <c r="DHV354" s="27"/>
      <c r="DHW354" s="27"/>
      <c r="DHX354" s="27"/>
      <c r="DHY354" s="27"/>
      <c r="DHZ354" s="27"/>
      <c r="DIA354" s="27"/>
      <c r="DIB354" s="27"/>
      <c r="DIC354" s="27"/>
      <c r="DID354" s="27"/>
      <c r="DIE354" s="27"/>
      <c r="DIF354" s="27"/>
      <c r="DIG354" s="27"/>
      <c r="DIH354" s="27"/>
      <c r="DII354" s="27"/>
      <c r="DIJ354" s="27"/>
      <c r="DIK354" s="27"/>
      <c r="DIL354" s="27"/>
      <c r="DIM354" s="27"/>
      <c r="DIN354" s="27"/>
      <c r="DIO354" s="27"/>
      <c r="DIP354" s="27"/>
      <c r="DIQ354" s="27"/>
      <c r="DIR354" s="27"/>
      <c r="DIS354" s="27"/>
      <c r="DIT354" s="27"/>
      <c r="DIU354" s="27"/>
      <c r="DIV354" s="27"/>
      <c r="DIW354" s="27"/>
      <c r="DIX354" s="27"/>
      <c r="DIY354" s="27"/>
      <c r="DIZ354" s="27"/>
      <c r="DJA354" s="27"/>
      <c r="DJB354" s="27"/>
      <c r="DJC354" s="27"/>
      <c r="DJD354" s="27"/>
      <c r="DJE354" s="27"/>
      <c r="DJF354" s="27"/>
      <c r="DJG354" s="27"/>
      <c r="DJH354" s="27"/>
      <c r="DJI354" s="27"/>
      <c r="DJJ354" s="27"/>
      <c r="DJK354" s="27"/>
      <c r="DJL354" s="27"/>
      <c r="DJM354" s="27"/>
      <c r="DJN354" s="27"/>
      <c r="DJO354" s="27"/>
      <c r="DJP354" s="27"/>
      <c r="DJQ354" s="27"/>
      <c r="DJR354" s="27"/>
      <c r="DJS354" s="27"/>
      <c r="DJT354" s="27"/>
      <c r="DJU354" s="27"/>
      <c r="DJV354" s="27"/>
      <c r="DJW354" s="27"/>
      <c r="DJX354" s="27"/>
      <c r="DJY354" s="27"/>
      <c r="DJZ354" s="27"/>
      <c r="DKA354" s="27"/>
      <c r="DKB354" s="27"/>
      <c r="DKC354" s="27"/>
      <c r="DKD354" s="27"/>
      <c r="DKE354" s="27"/>
      <c r="DKF354" s="27"/>
      <c r="DKG354" s="27"/>
      <c r="DKH354" s="27"/>
      <c r="DKI354" s="27"/>
      <c r="DKJ354" s="27"/>
      <c r="DKK354" s="27"/>
      <c r="DKL354" s="27"/>
      <c r="DKM354" s="27"/>
      <c r="DKN354" s="27"/>
      <c r="DKO354" s="27"/>
      <c r="DKP354" s="27"/>
      <c r="DKQ354" s="27"/>
      <c r="DKR354" s="27"/>
      <c r="DKS354" s="27"/>
      <c r="DKT354" s="27"/>
      <c r="DKU354" s="27"/>
      <c r="DKV354" s="27"/>
      <c r="DKW354" s="27"/>
      <c r="DKX354" s="27"/>
      <c r="DKY354" s="27"/>
      <c r="DKZ354" s="27"/>
      <c r="DLA354" s="27"/>
      <c r="DLB354" s="27"/>
      <c r="DLC354" s="27"/>
      <c r="DLD354" s="27"/>
      <c r="DLE354" s="27"/>
      <c r="DLF354" s="27"/>
      <c r="DLG354" s="27"/>
      <c r="DLH354" s="27"/>
      <c r="DLI354" s="27"/>
      <c r="DLJ354" s="27"/>
      <c r="DLK354" s="27"/>
      <c r="DLL354" s="27"/>
      <c r="DLM354" s="27"/>
      <c r="DLN354" s="27"/>
      <c r="DLO354" s="27"/>
      <c r="DLP354" s="27"/>
      <c r="DLQ354" s="27"/>
      <c r="DLR354" s="27"/>
      <c r="DLS354" s="27"/>
      <c r="DLT354" s="27"/>
      <c r="DLU354" s="27"/>
      <c r="DLV354" s="27"/>
      <c r="DLW354" s="27"/>
      <c r="DLX354" s="27"/>
      <c r="DLY354" s="27"/>
      <c r="DLZ354" s="27"/>
      <c r="DMA354" s="27"/>
      <c r="DMB354" s="27"/>
      <c r="DMC354" s="27"/>
      <c r="DMD354" s="27"/>
      <c r="DME354" s="27"/>
      <c r="DMF354" s="27"/>
      <c r="DMG354" s="27"/>
      <c r="DMH354" s="27"/>
      <c r="DMI354" s="27"/>
      <c r="DMJ354" s="27"/>
      <c r="DMK354" s="27"/>
      <c r="DML354" s="27"/>
      <c r="DMM354" s="27"/>
      <c r="DMN354" s="27"/>
      <c r="DMO354" s="27"/>
      <c r="DMP354" s="27"/>
      <c r="DMQ354" s="27"/>
      <c r="DMR354" s="27"/>
      <c r="DMS354" s="27"/>
      <c r="DMT354" s="27"/>
      <c r="DMU354" s="27"/>
      <c r="DMV354" s="27"/>
      <c r="DMW354" s="27"/>
      <c r="DMX354" s="27"/>
      <c r="DMY354" s="27"/>
      <c r="DMZ354" s="27"/>
      <c r="DNA354" s="27"/>
      <c r="DNB354" s="27"/>
      <c r="DNC354" s="27"/>
      <c r="DND354" s="27"/>
      <c r="DNE354" s="27"/>
      <c r="DNF354" s="27"/>
      <c r="DNG354" s="27"/>
      <c r="DNH354" s="27"/>
      <c r="DNI354" s="27"/>
      <c r="DNJ354" s="27"/>
      <c r="DNK354" s="27"/>
      <c r="DNL354" s="27"/>
      <c r="DNM354" s="27"/>
      <c r="DNN354" s="27"/>
      <c r="DNO354" s="27"/>
      <c r="DNP354" s="27"/>
      <c r="DNQ354" s="27"/>
      <c r="DNR354" s="27"/>
      <c r="DNS354" s="27"/>
      <c r="DNT354" s="27"/>
      <c r="DNU354" s="27"/>
      <c r="DNV354" s="27"/>
      <c r="DNW354" s="27"/>
      <c r="DNX354" s="27"/>
      <c r="DNY354" s="27"/>
      <c r="DNZ354" s="27"/>
      <c r="DOA354" s="27"/>
      <c r="DOB354" s="27"/>
      <c r="DOC354" s="27"/>
      <c r="DOD354" s="27"/>
      <c r="DOE354" s="27"/>
      <c r="DOF354" s="27"/>
      <c r="DOG354" s="27"/>
      <c r="DOH354" s="27"/>
      <c r="DOI354" s="27"/>
      <c r="DOJ354" s="27"/>
      <c r="DOK354" s="27"/>
      <c r="DOL354" s="27"/>
      <c r="DOM354" s="27"/>
      <c r="DON354" s="27"/>
      <c r="DOO354" s="27"/>
      <c r="DOP354" s="27"/>
      <c r="DOQ354" s="27"/>
      <c r="DOR354" s="27"/>
      <c r="DOS354" s="27"/>
      <c r="DOT354" s="27"/>
      <c r="DOU354" s="27"/>
      <c r="DOV354" s="27"/>
      <c r="DOW354" s="27"/>
      <c r="DOX354" s="27"/>
      <c r="DOY354" s="27"/>
      <c r="DOZ354" s="27"/>
      <c r="DPA354" s="27"/>
      <c r="DPB354" s="27"/>
      <c r="DPC354" s="27"/>
      <c r="DPD354" s="27"/>
      <c r="DPE354" s="27"/>
      <c r="DPF354" s="27"/>
      <c r="DPG354" s="27"/>
      <c r="DPH354" s="27"/>
      <c r="DPI354" s="27"/>
      <c r="DPJ354" s="27"/>
      <c r="DPK354" s="27"/>
      <c r="DPL354" s="27"/>
      <c r="DPM354" s="27"/>
      <c r="DPN354" s="27"/>
      <c r="DPO354" s="27"/>
      <c r="DPP354" s="27"/>
      <c r="DPQ354" s="27"/>
      <c r="DPR354" s="27"/>
      <c r="DPS354" s="27"/>
      <c r="DPT354" s="27"/>
      <c r="DPU354" s="27"/>
      <c r="DPV354" s="27"/>
      <c r="DPW354" s="27"/>
      <c r="DPX354" s="27"/>
      <c r="DPY354" s="27"/>
      <c r="DPZ354" s="27"/>
      <c r="DQA354" s="27"/>
      <c r="DQB354" s="27"/>
      <c r="DQC354" s="27"/>
      <c r="DQD354" s="27"/>
      <c r="DQE354" s="27"/>
      <c r="DQF354" s="27"/>
      <c r="DQG354" s="27"/>
      <c r="DQH354" s="27"/>
      <c r="DQI354" s="27"/>
      <c r="DQJ354" s="27"/>
      <c r="DQK354" s="27"/>
      <c r="DQL354" s="27"/>
      <c r="DQM354" s="27"/>
      <c r="DQN354" s="27"/>
      <c r="DQO354" s="27"/>
      <c r="DQP354" s="27"/>
      <c r="DQQ354" s="27"/>
      <c r="DQR354" s="27"/>
      <c r="DQS354" s="27"/>
      <c r="DQT354" s="27"/>
      <c r="DQU354" s="27"/>
      <c r="DQV354" s="27"/>
      <c r="DQW354" s="27"/>
      <c r="DQX354" s="27"/>
      <c r="DQY354" s="27"/>
      <c r="DQZ354" s="27"/>
      <c r="DRA354" s="27"/>
      <c r="DRB354" s="27"/>
      <c r="DRC354" s="27"/>
      <c r="DRD354" s="27"/>
      <c r="DRE354" s="27"/>
      <c r="DRF354" s="27"/>
      <c r="DRG354" s="27"/>
      <c r="DRH354" s="27"/>
      <c r="DRI354" s="27"/>
      <c r="DRJ354" s="27"/>
      <c r="DRK354" s="27"/>
      <c r="DRL354" s="27"/>
      <c r="DRM354" s="27"/>
      <c r="DRN354" s="27"/>
      <c r="DRO354" s="27"/>
      <c r="DRP354" s="27"/>
      <c r="DRQ354" s="27"/>
      <c r="DRR354" s="27"/>
      <c r="DRS354" s="27"/>
      <c r="DRT354" s="27"/>
      <c r="DRU354" s="27"/>
      <c r="DRV354" s="27"/>
      <c r="DRW354" s="27"/>
      <c r="DRX354" s="27"/>
      <c r="DRY354" s="27"/>
      <c r="DRZ354" s="27"/>
      <c r="DSA354" s="27"/>
      <c r="DSB354" s="27"/>
      <c r="DSC354" s="27"/>
      <c r="DSD354" s="27"/>
      <c r="DSE354" s="27"/>
      <c r="DSF354" s="27"/>
      <c r="DSG354" s="27"/>
      <c r="DSH354" s="27"/>
      <c r="DSI354" s="27"/>
      <c r="DSJ354" s="27"/>
      <c r="DSK354" s="27"/>
      <c r="DSL354" s="27"/>
      <c r="DSM354" s="27"/>
      <c r="DSN354" s="27"/>
      <c r="DSO354" s="27"/>
      <c r="DSP354" s="27"/>
      <c r="DSQ354" s="27"/>
      <c r="DSR354" s="27"/>
      <c r="DSS354" s="27"/>
      <c r="DST354" s="27"/>
      <c r="DSU354" s="27"/>
      <c r="DSV354" s="27"/>
      <c r="DSW354" s="27"/>
      <c r="DSX354" s="27"/>
      <c r="DSY354" s="27"/>
      <c r="DSZ354" s="27"/>
      <c r="DTA354" s="27"/>
      <c r="DTB354" s="27"/>
      <c r="DTC354" s="27"/>
      <c r="DTD354" s="27"/>
      <c r="DTE354" s="27"/>
      <c r="DTF354" s="27"/>
      <c r="DTG354" s="27"/>
      <c r="DTH354" s="27"/>
      <c r="DTI354" s="27"/>
      <c r="DTJ354" s="27"/>
      <c r="DTK354" s="27"/>
      <c r="DTL354" s="27"/>
      <c r="DTM354" s="27"/>
      <c r="DTN354" s="27"/>
      <c r="DTO354" s="27"/>
      <c r="DTP354" s="27"/>
      <c r="DTQ354" s="27"/>
      <c r="DTR354" s="27"/>
      <c r="DTS354" s="27"/>
      <c r="DTT354" s="27"/>
      <c r="DTU354" s="27"/>
      <c r="DTV354" s="27"/>
      <c r="DTW354" s="27"/>
      <c r="DTX354" s="27"/>
      <c r="DTY354" s="27"/>
      <c r="DTZ354" s="27"/>
      <c r="DUA354" s="27"/>
      <c r="DUB354" s="27"/>
      <c r="DUC354" s="27"/>
      <c r="DUD354" s="27"/>
      <c r="DUE354" s="27"/>
      <c r="DUF354" s="27"/>
      <c r="DUG354" s="27"/>
      <c r="DUH354" s="27"/>
      <c r="DUI354" s="27"/>
      <c r="DUJ354" s="27"/>
      <c r="DUK354" s="27"/>
      <c r="DUL354" s="27"/>
      <c r="DUM354" s="27"/>
      <c r="DUN354" s="27"/>
      <c r="DUO354" s="27"/>
      <c r="DUP354" s="27"/>
      <c r="DUQ354" s="27"/>
      <c r="DUR354" s="27"/>
      <c r="DUS354" s="27"/>
      <c r="DUT354" s="27"/>
      <c r="DUU354" s="27"/>
      <c r="DUV354" s="27"/>
      <c r="DUW354" s="27"/>
      <c r="DUX354" s="27"/>
      <c r="DUY354" s="27"/>
      <c r="DUZ354" s="27"/>
      <c r="DVA354" s="27"/>
      <c r="DVB354" s="27"/>
      <c r="DVC354" s="27"/>
      <c r="DVD354" s="27"/>
      <c r="DVE354" s="27"/>
      <c r="DVF354" s="27"/>
      <c r="DVG354" s="27"/>
      <c r="DVH354" s="27"/>
      <c r="DVI354" s="27"/>
      <c r="DVJ354" s="27"/>
      <c r="DVK354" s="27"/>
      <c r="DVL354" s="27"/>
      <c r="DVM354" s="27"/>
      <c r="DVN354" s="27"/>
      <c r="DVO354" s="27"/>
      <c r="DVP354" s="27"/>
      <c r="DVQ354" s="27"/>
      <c r="DVR354" s="27"/>
      <c r="DVS354" s="27"/>
      <c r="DVT354" s="27"/>
      <c r="DVU354" s="27"/>
      <c r="DVV354" s="27"/>
      <c r="DVW354" s="27"/>
      <c r="DVX354" s="27"/>
      <c r="DVY354" s="27"/>
      <c r="DVZ354" s="27"/>
      <c r="DWA354" s="27"/>
      <c r="DWB354" s="27"/>
      <c r="DWC354" s="27"/>
      <c r="DWD354" s="27"/>
      <c r="DWE354" s="27"/>
      <c r="DWF354" s="27"/>
      <c r="DWG354" s="27"/>
      <c r="DWH354" s="27"/>
      <c r="DWI354" s="27"/>
      <c r="DWJ354" s="27"/>
      <c r="DWK354" s="27"/>
      <c r="DWL354" s="27"/>
      <c r="DWM354" s="27"/>
      <c r="DWN354" s="27"/>
      <c r="DWO354" s="27"/>
      <c r="DWP354" s="27"/>
      <c r="DWQ354" s="27"/>
      <c r="DWR354" s="27"/>
      <c r="DWS354" s="27"/>
      <c r="DWT354" s="27"/>
      <c r="DWU354" s="27"/>
      <c r="DWV354" s="27"/>
      <c r="DWW354" s="27"/>
      <c r="DWX354" s="27"/>
      <c r="DWY354" s="27"/>
      <c r="DWZ354" s="27"/>
      <c r="DXA354" s="27"/>
      <c r="DXB354" s="27"/>
      <c r="DXC354" s="27"/>
      <c r="DXD354" s="27"/>
      <c r="DXE354" s="27"/>
      <c r="DXF354" s="27"/>
      <c r="DXG354" s="27"/>
      <c r="DXH354" s="27"/>
      <c r="DXI354" s="27"/>
      <c r="DXJ354" s="27"/>
      <c r="DXK354" s="27"/>
      <c r="DXL354" s="27"/>
      <c r="DXM354" s="27"/>
      <c r="DXN354" s="27"/>
      <c r="DXO354" s="27"/>
      <c r="DXP354" s="27"/>
      <c r="DXQ354" s="27"/>
      <c r="DXR354" s="27"/>
      <c r="DXS354" s="27"/>
      <c r="DXT354" s="27"/>
      <c r="DXU354" s="27"/>
      <c r="DXV354" s="27"/>
      <c r="DXW354" s="27"/>
      <c r="DXX354" s="27"/>
      <c r="DXY354" s="27"/>
      <c r="DXZ354" s="27"/>
      <c r="DYA354" s="27"/>
      <c r="DYB354" s="27"/>
      <c r="DYC354" s="27"/>
      <c r="DYD354" s="27"/>
      <c r="DYE354" s="27"/>
      <c r="DYF354" s="27"/>
      <c r="DYG354" s="27"/>
      <c r="DYH354" s="27"/>
      <c r="DYI354" s="27"/>
      <c r="DYJ354" s="27"/>
      <c r="DYK354" s="27"/>
      <c r="DYL354" s="27"/>
      <c r="DYM354" s="27"/>
      <c r="DYN354" s="27"/>
      <c r="DYO354" s="27"/>
      <c r="DYP354" s="27"/>
      <c r="DYQ354" s="27"/>
      <c r="DYR354" s="27"/>
      <c r="DYS354" s="27"/>
      <c r="DYT354" s="27"/>
      <c r="DYU354" s="27"/>
      <c r="DYV354" s="27"/>
      <c r="DYW354" s="27"/>
      <c r="DYX354" s="27"/>
      <c r="DYY354" s="27"/>
      <c r="DYZ354" s="27"/>
      <c r="DZA354" s="27"/>
      <c r="DZB354" s="27"/>
      <c r="DZC354" s="27"/>
      <c r="DZD354" s="27"/>
      <c r="DZE354" s="27"/>
      <c r="DZF354" s="27"/>
      <c r="DZG354" s="27"/>
      <c r="DZH354" s="27"/>
      <c r="DZI354" s="27"/>
      <c r="DZJ354" s="27"/>
      <c r="DZK354" s="27"/>
      <c r="DZL354" s="27"/>
      <c r="DZM354" s="27"/>
      <c r="DZN354" s="27"/>
      <c r="DZO354" s="27"/>
      <c r="DZP354" s="27"/>
      <c r="DZQ354" s="27"/>
      <c r="DZR354" s="27"/>
      <c r="DZS354" s="27"/>
      <c r="DZT354" s="27"/>
      <c r="DZU354" s="27"/>
      <c r="DZV354" s="27"/>
      <c r="DZW354" s="27"/>
      <c r="DZX354" s="27"/>
      <c r="DZY354" s="27"/>
      <c r="DZZ354" s="27"/>
      <c r="EAA354" s="27"/>
      <c r="EAB354" s="27"/>
      <c r="EAC354" s="27"/>
      <c r="EAD354" s="27"/>
      <c r="EAE354" s="27"/>
      <c r="EAF354" s="27"/>
      <c r="EAG354" s="27"/>
      <c r="EAH354" s="27"/>
      <c r="EAI354" s="27"/>
      <c r="EAJ354" s="27"/>
      <c r="EAK354" s="27"/>
      <c r="EAL354" s="27"/>
      <c r="EAM354" s="27"/>
      <c r="EAN354" s="27"/>
      <c r="EAO354" s="27"/>
      <c r="EAP354" s="27"/>
      <c r="EAQ354" s="27"/>
      <c r="EAR354" s="27"/>
      <c r="EAS354" s="27"/>
      <c r="EAT354" s="27"/>
      <c r="EAU354" s="27"/>
      <c r="EAV354" s="27"/>
      <c r="EAW354" s="27"/>
      <c r="EAX354" s="27"/>
      <c r="EAY354" s="27"/>
      <c r="EAZ354" s="27"/>
      <c r="EBA354" s="27"/>
      <c r="EBB354" s="27"/>
      <c r="EBC354" s="27"/>
      <c r="EBD354" s="27"/>
      <c r="EBE354" s="27"/>
      <c r="EBF354" s="27"/>
      <c r="EBG354" s="27"/>
      <c r="EBH354" s="27"/>
      <c r="EBI354" s="27"/>
      <c r="EBJ354" s="27"/>
      <c r="EBK354" s="27"/>
      <c r="EBL354" s="27"/>
      <c r="EBM354" s="27"/>
      <c r="EBN354" s="27"/>
      <c r="EBO354" s="27"/>
      <c r="EBP354" s="27"/>
      <c r="EBQ354" s="27"/>
      <c r="EBR354" s="27"/>
      <c r="EBS354" s="27"/>
      <c r="EBT354" s="27"/>
      <c r="EBU354" s="27"/>
      <c r="EBV354" s="27"/>
      <c r="EBW354" s="27"/>
      <c r="EBX354" s="27"/>
      <c r="EBY354" s="27"/>
      <c r="EBZ354" s="27"/>
      <c r="ECA354" s="27"/>
      <c r="ECB354" s="27"/>
      <c r="ECC354" s="27"/>
      <c r="ECD354" s="27"/>
      <c r="ECE354" s="27"/>
      <c r="ECF354" s="27"/>
      <c r="ECG354" s="27"/>
      <c r="ECH354" s="27"/>
      <c r="ECI354" s="27"/>
      <c r="ECJ354" s="27"/>
      <c r="ECK354" s="27"/>
      <c r="ECL354" s="27"/>
      <c r="ECM354" s="27"/>
      <c r="ECN354" s="27"/>
      <c r="ECO354" s="27"/>
      <c r="ECP354" s="27"/>
      <c r="ECQ354" s="27"/>
      <c r="ECR354" s="27"/>
      <c r="ECS354" s="27"/>
      <c r="ECT354" s="27"/>
      <c r="ECU354" s="27"/>
      <c r="ECV354" s="27"/>
      <c r="ECW354" s="27"/>
      <c r="ECX354" s="27"/>
      <c r="ECY354" s="27"/>
      <c r="ECZ354" s="27"/>
      <c r="EDA354" s="27"/>
      <c r="EDB354" s="27"/>
      <c r="EDC354" s="27"/>
      <c r="EDD354" s="27"/>
      <c r="EDE354" s="27"/>
      <c r="EDF354" s="27"/>
      <c r="EDG354" s="27"/>
      <c r="EDH354" s="27"/>
      <c r="EDI354" s="27"/>
      <c r="EDJ354" s="27"/>
      <c r="EDK354" s="27"/>
      <c r="EDL354" s="27"/>
      <c r="EDM354" s="27"/>
      <c r="EDN354" s="27"/>
      <c r="EDO354" s="27"/>
      <c r="EDP354" s="27"/>
      <c r="EDQ354" s="27"/>
      <c r="EDR354" s="27"/>
      <c r="EDS354" s="27"/>
      <c r="EDT354" s="27"/>
      <c r="EDU354" s="27"/>
      <c r="EDV354" s="27"/>
      <c r="EDW354" s="27"/>
      <c r="EDX354" s="27"/>
      <c r="EDY354" s="27"/>
      <c r="EDZ354" s="27"/>
      <c r="EEA354" s="27"/>
      <c r="EEB354" s="27"/>
      <c r="EEC354" s="27"/>
      <c r="EED354" s="27"/>
      <c r="EEE354" s="27"/>
      <c r="EEF354" s="27"/>
      <c r="EEG354" s="27"/>
      <c r="EEH354" s="27"/>
      <c r="EEI354" s="27"/>
      <c r="EEJ354" s="27"/>
      <c r="EEK354" s="27"/>
      <c r="EEL354" s="27"/>
      <c r="EEM354" s="27"/>
      <c r="EEN354" s="27"/>
      <c r="EEO354" s="27"/>
      <c r="EEP354" s="27"/>
      <c r="EEQ354" s="27"/>
      <c r="EER354" s="27"/>
      <c r="EES354" s="27"/>
      <c r="EET354" s="27"/>
      <c r="EEU354" s="27"/>
      <c r="EEV354" s="27"/>
      <c r="EEW354" s="27"/>
      <c r="EEX354" s="27"/>
      <c r="EEY354" s="27"/>
      <c r="EEZ354" s="27"/>
      <c r="EFA354" s="27"/>
      <c r="EFB354" s="27"/>
      <c r="EFC354" s="27"/>
      <c r="EFD354" s="27"/>
      <c r="EFE354" s="27"/>
      <c r="EFF354" s="27"/>
      <c r="EFG354" s="27"/>
      <c r="EFH354" s="27"/>
      <c r="EFI354" s="27"/>
      <c r="EFJ354" s="27"/>
      <c r="EFK354" s="27"/>
      <c r="EFL354" s="27"/>
      <c r="EFM354" s="27"/>
      <c r="EFN354" s="27"/>
      <c r="EFO354" s="27"/>
      <c r="EFP354" s="27"/>
      <c r="EFQ354" s="27"/>
      <c r="EFR354" s="27"/>
      <c r="EFS354" s="27"/>
      <c r="EFT354" s="27"/>
      <c r="EFU354" s="27"/>
      <c r="EFV354" s="27"/>
      <c r="EFW354" s="27"/>
      <c r="EFX354" s="27"/>
      <c r="EFY354" s="27"/>
      <c r="EFZ354" s="27"/>
      <c r="EGA354" s="27"/>
      <c r="EGB354" s="27"/>
      <c r="EGC354" s="27"/>
      <c r="EGD354" s="27"/>
      <c r="EGE354" s="27"/>
      <c r="EGF354" s="27"/>
      <c r="EGG354" s="27"/>
      <c r="EGH354" s="27"/>
      <c r="EGI354" s="27"/>
      <c r="EGJ354" s="27"/>
      <c r="EGK354" s="27"/>
      <c r="EGL354" s="27"/>
      <c r="EGM354" s="27"/>
      <c r="EGN354" s="27"/>
      <c r="EGO354" s="27"/>
      <c r="EGP354" s="27"/>
      <c r="EGQ354" s="27"/>
      <c r="EGR354" s="27"/>
      <c r="EGS354" s="27"/>
      <c r="EGT354" s="27"/>
      <c r="EGU354" s="27"/>
      <c r="EGV354" s="27"/>
      <c r="EGW354" s="27"/>
      <c r="EGX354" s="27"/>
      <c r="EGY354" s="27"/>
      <c r="EGZ354" s="27"/>
      <c r="EHA354" s="27"/>
      <c r="EHB354" s="27"/>
      <c r="EHC354" s="27"/>
      <c r="EHD354" s="27"/>
      <c r="EHE354" s="27"/>
      <c r="EHF354" s="27"/>
      <c r="EHG354" s="27"/>
      <c r="EHH354" s="27"/>
      <c r="EHI354" s="27"/>
      <c r="EHJ354" s="27"/>
      <c r="EHK354" s="27"/>
      <c r="EHL354" s="27"/>
      <c r="EHM354" s="27"/>
      <c r="EHN354" s="27"/>
      <c r="EHO354" s="27"/>
      <c r="EHP354" s="27"/>
      <c r="EHQ354" s="27"/>
      <c r="EHR354" s="27"/>
      <c r="EHS354" s="27"/>
      <c r="EHT354" s="27"/>
      <c r="EHU354" s="27"/>
      <c r="EHV354" s="27"/>
      <c r="EHW354" s="27"/>
      <c r="EHX354" s="27"/>
      <c r="EHY354" s="27"/>
      <c r="EHZ354" s="27"/>
      <c r="EIA354" s="27"/>
      <c r="EIB354" s="27"/>
      <c r="EIC354" s="27"/>
      <c r="EID354" s="27"/>
      <c r="EIE354" s="27"/>
      <c r="EIF354" s="27"/>
      <c r="EIG354" s="27"/>
      <c r="EIH354" s="27"/>
      <c r="EII354" s="27"/>
      <c r="EIJ354" s="27"/>
      <c r="EIK354" s="27"/>
      <c r="EIL354" s="27"/>
      <c r="EIM354" s="27"/>
      <c r="EIN354" s="27"/>
      <c r="EIO354" s="27"/>
      <c r="EIP354" s="27"/>
      <c r="EIQ354" s="27"/>
      <c r="EIR354" s="27"/>
      <c r="EIS354" s="27"/>
      <c r="EIT354" s="27"/>
      <c r="EIU354" s="27"/>
      <c r="EIV354" s="27"/>
      <c r="EIW354" s="27"/>
      <c r="EIX354" s="27"/>
      <c r="EIY354" s="27"/>
      <c r="EIZ354" s="27"/>
      <c r="EJA354" s="27"/>
      <c r="EJB354" s="27"/>
      <c r="EJC354" s="27"/>
      <c r="EJD354" s="27"/>
      <c r="EJE354" s="27"/>
      <c r="EJF354" s="27"/>
      <c r="EJG354" s="27"/>
      <c r="EJH354" s="27"/>
      <c r="EJI354" s="27"/>
      <c r="EJJ354" s="27"/>
      <c r="EJK354" s="27"/>
      <c r="EJL354" s="27"/>
      <c r="EJM354" s="27"/>
      <c r="EJN354" s="27"/>
      <c r="EJO354" s="27"/>
      <c r="EJP354" s="27"/>
      <c r="EJQ354" s="27"/>
      <c r="EJR354" s="27"/>
      <c r="EJS354" s="27"/>
      <c r="EJT354" s="27"/>
      <c r="EJU354" s="27"/>
      <c r="EJV354" s="27"/>
      <c r="EJW354" s="27"/>
      <c r="EJX354" s="27"/>
      <c r="EJY354" s="27"/>
      <c r="EJZ354" s="27"/>
      <c r="EKA354" s="27"/>
      <c r="EKB354" s="27"/>
      <c r="EKC354" s="27"/>
      <c r="EKD354" s="27"/>
      <c r="EKE354" s="27"/>
      <c r="EKF354" s="27"/>
      <c r="EKG354" s="27"/>
      <c r="EKH354" s="27"/>
      <c r="EKI354" s="27"/>
      <c r="EKJ354" s="27"/>
      <c r="EKK354" s="27"/>
      <c r="EKL354" s="27"/>
      <c r="EKM354" s="27"/>
      <c r="EKN354" s="27"/>
      <c r="EKO354" s="27"/>
      <c r="EKP354" s="27"/>
      <c r="EKQ354" s="27"/>
      <c r="EKR354" s="27"/>
      <c r="EKS354" s="27"/>
      <c r="EKT354" s="27"/>
      <c r="EKU354" s="27"/>
      <c r="EKV354" s="27"/>
      <c r="EKW354" s="27"/>
      <c r="EKX354" s="27"/>
      <c r="EKY354" s="27"/>
      <c r="EKZ354" s="27"/>
      <c r="ELA354" s="27"/>
      <c r="ELB354" s="27"/>
      <c r="ELC354" s="27"/>
      <c r="ELD354" s="27"/>
      <c r="ELE354" s="27"/>
      <c r="ELF354" s="27"/>
      <c r="ELG354" s="27"/>
      <c r="ELH354" s="27"/>
      <c r="ELI354" s="27"/>
      <c r="ELJ354" s="27"/>
      <c r="ELK354" s="27"/>
      <c r="ELL354" s="27"/>
      <c r="ELM354" s="27"/>
      <c r="ELN354" s="27"/>
      <c r="ELO354" s="27"/>
      <c r="ELP354" s="27"/>
      <c r="ELQ354" s="27"/>
      <c r="ELR354" s="27"/>
      <c r="ELS354" s="27"/>
      <c r="ELT354" s="27"/>
      <c r="ELU354" s="27"/>
      <c r="ELV354" s="27"/>
      <c r="ELW354" s="27"/>
      <c r="ELX354" s="27"/>
      <c r="ELY354" s="27"/>
      <c r="ELZ354" s="27"/>
      <c r="EMA354" s="27"/>
      <c r="EMB354" s="27"/>
      <c r="EMC354" s="27"/>
      <c r="EMD354" s="27"/>
      <c r="EME354" s="27"/>
      <c r="EMF354" s="27"/>
      <c r="EMG354" s="27"/>
      <c r="EMH354" s="27"/>
      <c r="EMI354" s="27"/>
      <c r="EMJ354" s="27"/>
      <c r="EMK354" s="27"/>
      <c r="EML354" s="27"/>
      <c r="EMM354" s="27"/>
      <c r="EMN354" s="27"/>
      <c r="EMO354" s="27"/>
      <c r="EMP354" s="27"/>
      <c r="EMQ354" s="27"/>
      <c r="EMR354" s="27"/>
      <c r="EMS354" s="27"/>
      <c r="EMT354" s="27"/>
      <c r="EMU354" s="27"/>
      <c r="EMV354" s="27"/>
      <c r="EMW354" s="27"/>
      <c r="EMX354" s="27"/>
      <c r="EMY354" s="27"/>
      <c r="EMZ354" s="27"/>
      <c r="ENA354" s="27"/>
      <c r="ENB354" s="27"/>
      <c r="ENC354" s="27"/>
      <c r="END354" s="27"/>
      <c r="ENE354" s="27"/>
      <c r="ENF354" s="27"/>
      <c r="ENG354" s="27"/>
      <c r="ENH354" s="27"/>
      <c r="ENI354" s="27"/>
      <c r="ENJ354" s="27"/>
      <c r="ENK354" s="27"/>
      <c r="ENL354" s="27"/>
      <c r="ENM354" s="27"/>
      <c r="ENN354" s="27"/>
      <c r="ENO354" s="27"/>
      <c r="ENP354" s="27"/>
      <c r="ENQ354" s="27"/>
      <c r="ENR354" s="27"/>
      <c r="ENS354" s="27"/>
      <c r="ENT354" s="27"/>
      <c r="ENU354" s="27"/>
      <c r="ENV354" s="27"/>
      <c r="ENW354" s="27"/>
      <c r="ENX354" s="27"/>
      <c r="ENY354" s="27"/>
      <c r="ENZ354" s="27"/>
      <c r="EOA354" s="27"/>
      <c r="EOB354" s="27"/>
      <c r="EOC354" s="27"/>
      <c r="EOD354" s="27"/>
      <c r="EOE354" s="27"/>
      <c r="EOF354" s="27"/>
      <c r="EOG354" s="27"/>
      <c r="EOH354" s="27"/>
      <c r="EOI354" s="27"/>
      <c r="EOJ354" s="27"/>
      <c r="EOK354" s="27"/>
      <c r="EOL354" s="27"/>
      <c r="EOM354" s="27"/>
      <c r="EON354" s="27"/>
      <c r="EOO354" s="27"/>
      <c r="EOP354" s="27"/>
      <c r="EOQ354" s="27"/>
      <c r="EOR354" s="27"/>
      <c r="EOS354" s="27"/>
      <c r="EOT354" s="27"/>
      <c r="EOU354" s="27"/>
      <c r="EOV354" s="27"/>
      <c r="EOW354" s="27"/>
      <c r="EOX354" s="27"/>
      <c r="EOY354" s="27"/>
      <c r="EOZ354" s="27"/>
      <c r="EPA354" s="27"/>
      <c r="EPB354" s="27"/>
      <c r="EPC354" s="27"/>
      <c r="EPD354" s="27"/>
      <c r="EPE354" s="27"/>
      <c r="EPF354" s="27"/>
      <c r="EPG354" s="27"/>
      <c r="EPH354" s="27"/>
      <c r="EPI354" s="27"/>
      <c r="EPJ354" s="27"/>
      <c r="EPK354" s="27"/>
      <c r="EPL354" s="27"/>
      <c r="EPM354" s="27"/>
      <c r="EPN354" s="27"/>
      <c r="EPO354" s="27"/>
      <c r="EPP354" s="27"/>
      <c r="EPQ354" s="27"/>
      <c r="EPR354" s="27"/>
      <c r="EPS354" s="27"/>
      <c r="EPT354" s="27"/>
      <c r="EPU354" s="27"/>
      <c r="EPV354" s="27"/>
      <c r="EPW354" s="27"/>
      <c r="EPX354" s="27"/>
      <c r="EPY354" s="27"/>
      <c r="EPZ354" s="27"/>
      <c r="EQA354" s="27"/>
      <c r="EQB354" s="27"/>
      <c r="EQC354" s="27"/>
      <c r="EQD354" s="27"/>
      <c r="EQE354" s="27"/>
      <c r="EQF354" s="27"/>
      <c r="EQG354" s="27"/>
      <c r="EQH354" s="27"/>
      <c r="EQI354" s="27"/>
      <c r="EQJ354" s="27"/>
      <c r="EQK354" s="27"/>
      <c r="EQL354" s="27"/>
      <c r="EQM354" s="27"/>
      <c r="EQN354" s="27"/>
      <c r="EQO354" s="27"/>
      <c r="EQP354" s="27"/>
      <c r="EQQ354" s="27"/>
      <c r="EQR354" s="27"/>
      <c r="EQS354" s="27"/>
      <c r="EQT354" s="27"/>
      <c r="EQU354" s="27"/>
      <c r="EQV354" s="27"/>
      <c r="EQW354" s="27"/>
      <c r="EQX354" s="27"/>
      <c r="EQY354" s="27"/>
      <c r="EQZ354" s="27"/>
      <c r="ERA354" s="27"/>
      <c r="ERB354" s="27"/>
      <c r="ERC354" s="27"/>
      <c r="ERD354" s="27"/>
      <c r="ERE354" s="27"/>
      <c r="ERF354" s="27"/>
      <c r="ERG354" s="27"/>
      <c r="ERH354" s="27"/>
      <c r="ERI354" s="27"/>
      <c r="ERJ354" s="27"/>
      <c r="ERK354" s="27"/>
      <c r="ERL354" s="27"/>
      <c r="ERM354" s="27"/>
      <c r="ERN354" s="27"/>
      <c r="ERO354" s="27"/>
      <c r="ERP354" s="27"/>
      <c r="ERQ354" s="27"/>
      <c r="ERR354" s="27"/>
      <c r="ERS354" s="27"/>
      <c r="ERT354" s="27"/>
      <c r="ERU354" s="27"/>
      <c r="ERV354" s="27"/>
      <c r="ERW354" s="27"/>
      <c r="ERX354" s="27"/>
      <c r="ERY354" s="27"/>
      <c r="ERZ354" s="27"/>
      <c r="ESA354" s="27"/>
      <c r="ESB354" s="27"/>
      <c r="ESC354" s="27"/>
      <c r="ESD354" s="27"/>
      <c r="ESE354" s="27"/>
      <c r="ESF354" s="27"/>
      <c r="ESG354" s="27"/>
      <c r="ESH354" s="27"/>
      <c r="ESI354" s="27"/>
      <c r="ESJ354" s="27"/>
      <c r="ESK354" s="27"/>
      <c r="ESL354" s="27"/>
      <c r="ESM354" s="27"/>
      <c r="ESN354" s="27"/>
      <c r="ESO354" s="27"/>
      <c r="ESP354" s="27"/>
      <c r="ESQ354" s="27"/>
      <c r="ESR354" s="27"/>
      <c r="ESS354" s="27"/>
      <c r="EST354" s="27"/>
      <c r="ESU354" s="27"/>
      <c r="ESV354" s="27"/>
      <c r="ESW354" s="27"/>
      <c r="ESX354" s="27"/>
      <c r="ESY354" s="27"/>
      <c r="ESZ354" s="27"/>
      <c r="ETA354" s="27"/>
      <c r="ETB354" s="27"/>
      <c r="ETC354" s="27"/>
      <c r="ETD354" s="27"/>
      <c r="ETE354" s="27"/>
      <c r="ETF354" s="27"/>
      <c r="ETG354" s="27"/>
      <c r="ETH354" s="27"/>
      <c r="ETI354" s="27"/>
      <c r="ETJ354" s="27"/>
      <c r="ETK354" s="27"/>
      <c r="ETL354" s="27"/>
      <c r="ETM354" s="27"/>
      <c r="ETN354" s="27"/>
      <c r="ETO354" s="27"/>
      <c r="ETP354" s="27"/>
      <c r="ETQ354" s="27"/>
      <c r="ETR354" s="27"/>
      <c r="ETS354" s="27"/>
      <c r="ETT354" s="27"/>
      <c r="ETU354" s="27"/>
      <c r="ETV354" s="27"/>
      <c r="ETW354" s="27"/>
      <c r="ETX354" s="27"/>
      <c r="ETY354" s="27"/>
      <c r="ETZ354" s="27"/>
      <c r="EUA354" s="27"/>
      <c r="EUB354" s="27"/>
      <c r="EUC354" s="27"/>
      <c r="EUD354" s="27"/>
      <c r="EUE354" s="27"/>
      <c r="EUF354" s="27"/>
      <c r="EUG354" s="27"/>
      <c r="EUH354" s="27"/>
      <c r="EUI354" s="27"/>
      <c r="EUJ354" s="27"/>
      <c r="EUK354" s="27"/>
      <c r="EUL354" s="27"/>
      <c r="EUM354" s="27"/>
      <c r="EUN354" s="27"/>
      <c r="EUO354" s="27"/>
      <c r="EUP354" s="27"/>
      <c r="EUQ354" s="27"/>
      <c r="EUR354" s="27"/>
      <c r="EUS354" s="27"/>
      <c r="EUT354" s="27"/>
      <c r="EUU354" s="27"/>
      <c r="EUV354" s="27"/>
      <c r="EUW354" s="27"/>
      <c r="EUX354" s="27"/>
      <c r="EUY354" s="27"/>
      <c r="EUZ354" s="27"/>
      <c r="EVA354" s="27"/>
      <c r="EVB354" s="27"/>
      <c r="EVC354" s="27"/>
      <c r="EVD354" s="27"/>
      <c r="EVE354" s="27"/>
      <c r="EVF354" s="27"/>
      <c r="EVG354" s="27"/>
      <c r="EVH354" s="27"/>
      <c r="EVI354" s="27"/>
      <c r="EVJ354" s="27"/>
      <c r="EVK354" s="27"/>
      <c r="EVL354" s="27"/>
      <c r="EVM354" s="27"/>
      <c r="EVN354" s="27"/>
      <c r="EVO354" s="27"/>
      <c r="EVP354" s="27"/>
      <c r="EVQ354" s="27"/>
      <c r="EVR354" s="27"/>
      <c r="EVS354" s="27"/>
      <c r="EVT354" s="27"/>
      <c r="EVU354" s="27"/>
      <c r="EVV354" s="27"/>
      <c r="EVW354" s="27"/>
      <c r="EVX354" s="27"/>
      <c r="EVY354" s="27"/>
      <c r="EVZ354" s="27"/>
      <c r="EWA354" s="27"/>
      <c r="EWB354" s="27"/>
      <c r="EWC354" s="27"/>
      <c r="EWD354" s="27"/>
      <c r="EWE354" s="27"/>
      <c r="EWF354" s="27"/>
      <c r="EWG354" s="27"/>
      <c r="EWH354" s="27"/>
      <c r="EWI354" s="27"/>
      <c r="EWJ354" s="27"/>
      <c r="EWK354" s="27"/>
      <c r="EWL354" s="27"/>
      <c r="EWM354" s="27"/>
      <c r="EWN354" s="27"/>
      <c r="EWO354" s="27"/>
      <c r="EWP354" s="27"/>
      <c r="EWQ354" s="27"/>
      <c r="EWR354" s="27"/>
      <c r="EWS354" s="27"/>
      <c r="EWT354" s="27"/>
      <c r="EWU354" s="27"/>
      <c r="EWV354" s="27"/>
      <c r="EWW354" s="27"/>
      <c r="EWX354" s="27"/>
      <c r="EWY354" s="27"/>
      <c r="EWZ354" s="27"/>
      <c r="EXA354" s="27"/>
      <c r="EXB354" s="27"/>
      <c r="EXC354" s="27"/>
      <c r="EXD354" s="27"/>
      <c r="EXE354" s="27"/>
      <c r="EXF354" s="27"/>
      <c r="EXG354" s="27"/>
      <c r="EXH354" s="27"/>
      <c r="EXI354" s="27"/>
      <c r="EXJ354" s="27"/>
      <c r="EXK354" s="27"/>
      <c r="EXL354" s="27"/>
      <c r="EXM354" s="27"/>
      <c r="EXN354" s="27"/>
      <c r="EXO354" s="27"/>
      <c r="EXP354" s="27"/>
      <c r="EXQ354" s="27"/>
      <c r="EXR354" s="27"/>
      <c r="EXS354" s="27"/>
      <c r="EXT354" s="27"/>
      <c r="EXU354" s="27"/>
      <c r="EXV354" s="27"/>
      <c r="EXW354" s="27"/>
      <c r="EXX354" s="27"/>
      <c r="EXY354" s="27"/>
      <c r="EXZ354" s="27"/>
      <c r="EYA354" s="27"/>
      <c r="EYB354" s="27"/>
      <c r="EYC354" s="27"/>
      <c r="EYD354" s="27"/>
      <c r="EYE354" s="27"/>
      <c r="EYF354" s="27"/>
      <c r="EYG354" s="27"/>
      <c r="EYH354" s="27"/>
      <c r="EYI354" s="27"/>
      <c r="EYJ354" s="27"/>
      <c r="EYK354" s="27"/>
      <c r="EYL354" s="27"/>
      <c r="EYM354" s="27"/>
      <c r="EYN354" s="27"/>
      <c r="EYO354" s="27"/>
      <c r="EYP354" s="27"/>
      <c r="EYQ354" s="27"/>
      <c r="EYR354" s="27"/>
      <c r="EYS354" s="27"/>
      <c r="EYT354" s="27"/>
      <c r="EYU354" s="27"/>
      <c r="EYV354" s="27"/>
      <c r="EYW354" s="27"/>
      <c r="EYX354" s="27"/>
      <c r="EYY354" s="27"/>
      <c r="EYZ354" s="27"/>
      <c r="EZA354" s="27"/>
      <c r="EZB354" s="27"/>
      <c r="EZC354" s="27"/>
      <c r="EZD354" s="27"/>
      <c r="EZE354" s="27"/>
      <c r="EZF354" s="27"/>
      <c r="EZG354" s="27"/>
      <c r="EZH354" s="27"/>
      <c r="EZI354" s="27"/>
      <c r="EZJ354" s="27"/>
      <c r="EZK354" s="27"/>
      <c r="EZL354" s="27"/>
      <c r="EZM354" s="27"/>
      <c r="EZN354" s="27"/>
      <c r="EZO354" s="27"/>
      <c r="EZP354" s="27"/>
      <c r="EZQ354" s="27"/>
      <c r="EZR354" s="27"/>
      <c r="EZS354" s="27"/>
      <c r="EZT354" s="27"/>
      <c r="EZU354" s="27"/>
      <c r="EZV354" s="27"/>
      <c r="EZW354" s="27"/>
      <c r="EZX354" s="27"/>
      <c r="EZY354" s="27"/>
      <c r="EZZ354" s="27"/>
      <c r="FAA354" s="27"/>
      <c r="FAB354" s="27"/>
      <c r="FAC354" s="27"/>
      <c r="FAD354" s="27"/>
      <c r="FAE354" s="27"/>
      <c r="FAF354" s="27"/>
      <c r="FAG354" s="27"/>
      <c r="FAH354" s="27"/>
      <c r="FAI354" s="27"/>
      <c r="FAJ354" s="27"/>
      <c r="FAK354" s="27"/>
      <c r="FAL354" s="27"/>
      <c r="FAM354" s="27"/>
      <c r="FAN354" s="27"/>
      <c r="FAO354" s="27"/>
      <c r="FAP354" s="27"/>
      <c r="FAQ354" s="27"/>
      <c r="FAR354" s="27"/>
      <c r="FAS354" s="27"/>
      <c r="FAT354" s="27"/>
      <c r="FAU354" s="27"/>
      <c r="FAV354" s="27"/>
      <c r="FAW354" s="27"/>
      <c r="FAX354" s="27"/>
      <c r="FAY354" s="27"/>
      <c r="FAZ354" s="27"/>
      <c r="FBA354" s="27"/>
      <c r="FBB354" s="27"/>
      <c r="FBC354" s="27"/>
      <c r="FBD354" s="27"/>
      <c r="FBE354" s="27"/>
      <c r="FBF354" s="27"/>
      <c r="FBG354" s="27"/>
      <c r="FBH354" s="27"/>
      <c r="FBI354" s="27"/>
      <c r="FBJ354" s="27"/>
      <c r="FBK354" s="27"/>
      <c r="FBL354" s="27"/>
      <c r="FBM354" s="27"/>
      <c r="FBN354" s="27"/>
      <c r="FBO354" s="27"/>
      <c r="FBP354" s="27"/>
      <c r="FBQ354" s="27"/>
      <c r="FBR354" s="27"/>
      <c r="FBS354" s="27"/>
      <c r="FBT354" s="27"/>
      <c r="FBU354" s="27"/>
      <c r="FBV354" s="27"/>
      <c r="FBW354" s="27"/>
      <c r="FBX354" s="27"/>
      <c r="FBY354" s="27"/>
      <c r="FBZ354" s="27"/>
      <c r="FCA354" s="27"/>
      <c r="FCB354" s="27"/>
      <c r="FCC354" s="27"/>
      <c r="FCD354" s="27"/>
      <c r="FCE354" s="27"/>
      <c r="FCF354" s="27"/>
      <c r="FCG354" s="27"/>
      <c r="FCH354" s="27"/>
      <c r="FCI354" s="27"/>
      <c r="FCJ354" s="27"/>
      <c r="FCK354" s="27"/>
      <c r="FCL354" s="27"/>
      <c r="FCM354" s="27"/>
      <c r="FCN354" s="27"/>
      <c r="FCO354" s="27"/>
      <c r="FCP354" s="27"/>
      <c r="FCQ354" s="27"/>
      <c r="FCR354" s="27"/>
      <c r="FCS354" s="27"/>
      <c r="FCT354" s="27"/>
      <c r="FCU354" s="27"/>
      <c r="FCV354" s="27"/>
      <c r="FCW354" s="27"/>
      <c r="FCX354" s="27"/>
      <c r="FCY354" s="27"/>
      <c r="FCZ354" s="27"/>
      <c r="FDA354" s="27"/>
      <c r="FDB354" s="27"/>
      <c r="FDC354" s="27"/>
      <c r="FDD354" s="27"/>
      <c r="FDE354" s="27"/>
      <c r="FDF354" s="27"/>
      <c r="FDG354" s="27"/>
      <c r="FDH354" s="27"/>
      <c r="FDI354" s="27"/>
      <c r="FDJ354" s="27"/>
      <c r="FDK354" s="27"/>
      <c r="FDL354" s="27"/>
      <c r="FDM354" s="27"/>
      <c r="FDN354" s="27"/>
      <c r="FDO354" s="27"/>
      <c r="FDP354" s="27"/>
      <c r="FDQ354" s="27"/>
      <c r="FDR354" s="27"/>
      <c r="FDS354" s="27"/>
      <c r="FDT354" s="27"/>
      <c r="FDU354" s="27"/>
      <c r="FDV354" s="27"/>
      <c r="FDW354" s="27"/>
      <c r="FDX354" s="27"/>
      <c r="FDY354" s="27"/>
      <c r="FDZ354" s="27"/>
      <c r="FEA354" s="27"/>
      <c r="FEB354" s="27"/>
      <c r="FEC354" s="27"/>
      <c r="FED354" s="27"/>
      <c r="FEE354" s="27"/>
      <c r="FEF354" s="27"/>
      <c r="FEG354" s="27"/>
      <c r="FEH354" s="27"/>
      <c r="FEI354" s="27"/>
      <c r="FEJ354" s="27"/>
      <c r="FEK354" s="27"/>
      <c r="FEL354" s="27"/>
      <c r="FEM354" s="27"/>
      <c r="FEN354" s="27"/>
      <c r="FEO354" s="27"/>
      <c r="FEP354" s="27"/>
      <c r="FEQ354" s="27"/>
      <c r="FER354" s="27"/>
      <c r="FES354" s="27"/>
      <c r="FET354" s="27"/>
      <c r="FEU354" s="27"/>
      <c r="FEV354" s="27"/>
      <c r="FEW354" s="27"/>
      <c r="FEX354" s="27"/>
      <c r="FEY354" s="27"/>
      <c r="FEZ354" s="27"/>
      <c r="FFA354" s="27"/>
      <c r="FFB354" s="27"/>
      <c r="FFC354" s="27"/>
      <c r="FFD354" s="27"/>
      <c r="FFE354" s="27"/>
      <c r="FFF354" s="27"/>
      <c r="FFG354" s="27"/>
      <c r="FFH354" s="27"/>
      <c r="FFI354" s="27"/>
      <c r="FFJ354" s="27"/>
      <c r="FFK354" s="27"/>
      <c r="FFL354" s="27"/>
      <c r="FFM354" s="27"/>
      <c r="FFN354" s="27"/>
      <c r="FFO354" s="27"/>
      <c r="FFP354" s="27"/>
      <c r="FFQ354" s="27"/>
      <c r="FFR354" s="27"/>
      <c r="FFS354" s="27"/>
      <c r="FFT354" s="27"/>
      <c r="FFU354" s="27"/>
      <c r="FFV354" s="27"/>
      <c r="FFW354" s="27"/>
      <c r="FFX354" s="27"/>
      <c r="FFY354" s="27"/>
      <c r="FFZ354" s="27"/>
      <c r="FGA354" s="27"/>
      <c r="FGB354" s="27"/>
      <c r="FGC354" s="27"/>
      <c r="FGD354" s="27"/>
      <c r="FGE354" s="27"/>
      <c r="FGF354" s="27"/>
      <c r="FGG354" s="27"/>
      <c r="FGH354" s="27"/>
      <c r="FGI354" s="27"/>
      <c r="FGJ354" s="27"/>
      <c r="FGK354" s="27"/>
      <c r="FGL354" s="27"/>
      <c r="FGM354" s="27"/>
      <c r="FGN354" s="27"/>
      <c r="FGO354" s="27"/>
      <c r="FGP354" s="27"/>
      <c r="FGQ354" s="27"/>
      <c r="FGR354" s="27"/>
      <c r="FGS354" s="27"/>
      <c r="FGT354" s="27"/>
      <c r="FGU354" s="27"/>
      <c r="FGV354" s="27"/>
      <c r="FGW354" s="27"/>
      <c r="FGX354" s="27"/>
      <c r="FGY354" s="27"/>
      <c r="FGZ354" s="27"/>
      <c r="FHA354" s="27"/>
      <c r="FHB354" s="27"/>
      <c r="FHC354" s="27"/>
      <c r="FHD354" s="27"/>
      <c r="FHE354" s="27"/>
      <c r="FHF354" s="27"/>
      <c r="FHG354" s="27"/>
      <c r="FHH354" s="27"/>
      <c r="FHI354" s="27"/>
      <c r="FHJ354" s="27"/>
      <c r="FHK354" s="27"/>
      <c r="FHL354" s="27"/>
      <c r="FHM354" s="27"/>
      <c r="FHN354" s="27"/>
      <c r="FHO354" s="27"/>
      <c r="FHP354" s="27"/>
      <c r="FHQ354" s="27"/>
      <c r="FHR354" s="27"/>
      <c r="FHS354" s="27"/>
      <c r="FHT354" s="27"/>
      <c r="FHU354" s="27"/>
      <c r="FHV354" s="27"/>
      <c r="FHW354" s="27"/>
      <c r="FHX354" s="27"/>
      <c r="FHY354" s="27"/>
      <c r="FHZ354" s="27"/>
      <c r="FIA354" s="27"/>
      <c r="FIB354" s="27"/>
      <c r="FIC354" s="27"/>
      <c r="FID354" s="27"/>
      <c r="FIE354" s="27"/>
      <c r="FIF354" s="27"/>
      <c r="FIG354" s="27"/>
      <c r="FIH354" s="27"/>
      <c r="FII354" s="27"/>
      <c r="FIJ354" s="27"/>
      <c r="FIK354" s="27"/>
      <c r="FIL354" s="27"/>
      <c r="FIM354" s="27"/>
      <c r="FIN354" s="27"/>
      <c r="FIO354" s="27"/>
      <c r="FIP354" s="27"/>
      <c r="FIQ354" s="27"/>
      <c r="FIR354" s="27"/>
      <c r="FIS354" s="27"/>
      <c r="FIT354" s="27"/>
      <c r="FIU354" s="27"/>
      <c r="FIV354" s="27"/>
      <c r="FIW354" s="27"/>
      <c r="FIX354" s="27"/>
      <c r="FIY354" s="27"/>
      <c r="FIZ354" s="27"/>
      <c r="FJA354" s="27"/>
      <c r="FJB354" s="27"/>
      <c r="FJC354" s="27"/>
      <c r="FJD354" s="27"/>
      <c r="FJE354" s="27"/>
      <c r="FJF354" s="27"/>
      <c r="FJG354" s="27"/>
      <c r="FJH354" s="27"/>
      <c r="FJI354" s="27"/>
      <c r="FJJ354" s="27"/>
      <c r="FJK354" s="27"/>
      <c r="FJL354" s="27"/>
      <c r="FJM354" s="27"/>
      <c r="FJN354" s="27"/>
      <c r="FJO354" s="27"/>
      <c r="FJP354" s="27"/>
      <c r="FJQ354" s="27"/>
      <c r="FJR354" s="27"/>
      <c r="FJS354" s="27"/>
      <c r="FJT354" s="27"/>
      <c r="FJU354" s="27"/>
      <c r="FJV354" s="27"/>
      <c r="FJW354" s="27"/>
      <c r="FJX354" s="27"/>
      <c r="FJY354" s="27"/>
      <c r="FJZ354" s="27"/>
      <c r="FKA354" s="27"/>
      <c r="FKB354" s="27"/>
      <c r="FKC354" s="27"/>
      <c r="FKD354" s="27"/>
      <c r="FKE354" s="27"/>
      <c r="FKF354" s="27"/>
      <c r="FKG354" s="27"/>
      <c r="FKH354" s="27"/>
      <c r="FKI354" s="27"/>
      <c r="FKJ354" s="27"/>
      <c r="FKK354" s="27"/>
      <c r="FKL354" s="27"/>
      <c r="FKM354" s="27"/>
      <c r="FKN354" s="27"/>
      <c r="FKO354" s="27"/>
      <c r="FKP354" s="27"/>
      <c r="FKQ354" s="27"/>
      <c r="FKR354" s="27"/>
      <c r="FKS354" s="27"/>
      <c r="FKT354" s="27"/>
      <c r="FKU354" s="27"/>
      <c r="FKV354" s="27"/>
      <c r="FKW354" s="27"/>
      <c r="FKX354" s="27"/>
      <c r="FKY354" s="27"/>
      <c r="FKZ354" s="27"/>
      <c r="FLA354" s="27"/>
      <c r="FLB354" s="27"/>
      <c r="FLC354" s="27"/>
      <c r="FLD354" s="27"/>
      <c r="FLE354" s="27"/>
      <c r="FLF354" s="27"/>
      <c r="FLG354" s="27"/>
      <c r="FLH354" s="27"/>
      <c r="FLI354" s="27"/>
      <c r="FLJ354" s="27"/>
      <c r="FLK354" s="27"/>
      <c r="FLL354" s="27"/>
      <c r="FLM354" s="27"/>
      <c r="FLN354" s="27"/>
      <c r="FLO354" s="27"/>
      <c r="FLP354" s="27"/>
      <c r="FLQ354" s="27"/>
      <c r="FLR354" s="27"/>
      <c r="FLS354" s="27"/>
      <c r="FLT354" s="27"/>
      <c r="FLU354" s="27"/>
      <c r="FLV354" s="27"/>
      <c r="FLW354" s="27"/>
      <c r="FLX354" s="27"/>
      <c r="FLY354" s="27"/>
      <c r="FLZ354" s="27"/>
      <c r="FMA354" s="27"/>
      <c r="FMB354" s="27"/>
      <c r="FMC354" s="27"/>
      <c r="FMD354" s="27"/>
      <c r="FME354" s="27"/>
      <c r="FMF354" s="27"/>
      <c r="FMG354" s="27"/>
      <c r="FMH354" s="27"/>
      <c r="FMI354" s="27"/>
      <c r="FMJ354" s="27"/>
      <c r="FMK354" s="27"/>
      <c r="FML354" s="27"/>
      <c r="FMM354" s="27"/>
      <c r="FMN354" s="27"/>
      <c r="FMO354" s="27"/>
      <c r="FMP354" s="27"/>
      <c r="FMQ354" s="27"/>
      <c r="FMR354" s="27"/>
      <c r="FMS354" s="27"/>
      <c r="FMT354" s="27"/>
      <c r="FMU354" s="27"/>
      <c r="FMV354" s="27"/>
      <c r="FMW354" s="27"/>
      <c r="FMX354" s="27"/>
      <c r="FMY354" s="27"/>
      <c r="FMZ354" s="27"/>
      <c r="FNA354" s="27"/>
      <c r="FNB354" s="27"/>
      <c r="FNC354" s="27"/>
      <c r="FND354" s="27"/>
      <c r="FNE354" s="27"/>
      <c r="FNF354" s="27"/>
      <c r="FNG354" s="27"/>
      <c r="FNH354" s="27"/>
      <c r="FNI354" s="27"/>
      <c r="FNJ354" s="27"/>
      <c r="FNK354" s="27"/>
      <c r="FNL354" s="27"/>
      <c r="FNM354" s="27"/>
      <c r="FNN354" s="27"/>
      <c r="FNO354" s="27"/>
      <c r="FNP354" s="27"/>
      <c r="FNQ354" s="27"/>
      <c r="FNR354" s="27"/>
      <c r="FNS354" s="27"/>
      <c r="FNT354" s="27"/>
      <c r="FNU354" s="27"/>
      <c r="FNV354" s="27"/>
      <c r="FNW354" s="27"/>
      <c r="FNX354" s="27"/>
      <c r="FNY354" s="27"/>
      <c r="FNZ354" s="27"/>
      <c r="FOA354" s="27"/>
      <c r="FOB354" s="27"/>
      <c r="FOC354" s="27"/>
      <c r="FOD354" s="27"/>
      <c r="FOE354" s="27"/>
      <c r="FOF354" s="27"/>
      <c r="FOG354" s="27"/>
      <c r="FOH354" s="27"/>
      <c r="FOI354" s="27"/>
      <c r="FOJ354" s="27"/>
      <c r="FOK354" s="27"/>
      <c r="FOL354" s="27"/>
      <c r="FOM354" s="27"/>
      <c r="FON354" s="27"/>
      <c r="FOO354" s="27"/>
      <c r="FOP354" s="27"/>
      <c r="FOQ354" s="27"/>
      <c r="FOR354" s="27"/>
      <c r="FOS354" s="27"/>
      <c r="FOT354" s="27"/>
      <c r="FOU354" s="27"/>
      <c r="FOV354" s="27"/>
      <c r="FOW354" s="27"/>
      <c r="FOX354" s="27"/>
      <c r="FOY354" s="27"/>
      <c r="FOZ354" s="27"/>
      <c r="FPA354" s="27"/>
      <c r="FPB354" s="27"/>
      <c r="FPC354" s="27"/>
      <c r="FPD354" s="27"/>
      <c r="FPE354" s="27"/>
      <c r="FPF354" s="27"/>
      <c r="FPG354" s="27"/>
      <c r="FPH354" s="27"/>
      <c r="FPI354" s="27"/>
      <c r="FPJ354" s="27"/>
      <c r="FPK354" s="27"/>
      <c r="FPL354" s="27"/>
      <c r="FPM354" s="27"/>
      <c r="FPN354" s="27"/>
      <c r="FPO354" s="27"/>
      <c r="FPP354" s="27"/>
      <c r="FPQ354" s="27"/>
      <c r="FPR354" s="27"/>
      <c r="FPS354" s="27"/>
      <c r="FPT354" s="27"/>
      <c r="FPU354" s="27"/>
      <c r="FPV354" s="27"/>
      <c r="FPW354" s="27"/>
      <c r="FPX354" s="27"/>
      <c r="FPY354" s="27"/>
      <c r="FPZ354" s="27"/>
      <c r="FQA354" s="27"/>
      <c r="FQB354" s="27"/>
      <c r="FQC354" s="27"/>
      <c r="FQD354" s="27"/>
      <c r="FQE354" s="27"/>
      <c r="FQF354" s="27"/>
      <c r="FQG354" s="27"/>
      <c r="FQH354" s="27"/>
      <c r="FQI354" s="27"/>
      <c r="FQJ354" s="27"/>
      <c r="FQK354" s="27"/>
      <c r="FQL354" s="27"/>
      <c r="FQM354" s="27"/>
      <c r="FQN354" s="27"/>
      <c r="FQO354" s="27"/>
      <c r="FQP354" s="27"/>
      <c r="FQQ354" s="27"/>
      <c r="FQR354" s="27"/>
      <c r="FQS354" s="27"/>
      <c r="FQT354" s="27"/>
      <c r="FQU354" s="27"/>
      <c r="FQV354" s="27"/>
      <c r="FQW354" s="27"/>
      <c r="FQX354" s="27"/>
      <c r="FQY354" s="27"/>
      <c r="FQZ354" s="27"/>
      <c r="FRA354" s="27"/>
      <c r="FRB354" s="27"/>
      <c r="FRC354" s="27"/>
      <c r="FRD354" s="27"/>
      <c r="FRE354" s="27"/>
      <c r="FRF354" s="27"/>
      <c r="FRG354" s="27"/>
      <c r="FRH354" s="27"/>
      <c r="FRI354" s="27"/>
      <c r="FRJ354" s="27"/>
      <c r="FRK354" s="27"/>
      <c r="FRL354" s="27"/>
      <c r="FRM354" s="27"/>
      <c r="FRN354" s="27"/>
      <c r="FRO354" s="27"/>
      <c r="FRP354" s="27"/>
      <c r="FRQ354" s="27"/>
      <c r="FRR354" s="27"/>
      <c r="FRS354" s="27"/>
      <c r="FRT354" s="27"/>
      <c r="FRU354" s="27"/>
      <c r="FRV354" s="27"/>
      <c r="FRW354" s="27"/>
      <c r="FRX354" s="27"/>
      <c r="FRY354" s="27"/>
      <c r="FRZ354" s="27"/>
      <c r="FSA354" s="27"/>
      <c r="FSB354" s="27"/>
      <c r="FSC354" s="27"/>
      <c r="FSD354" s="27"/>
      <c r="FSE354" s="27"/>
      <c r="FSF354" s="27"/>
      <c r="FSG354" s="27"/>
      <c r="FSH354" s="27"/>
      <c r="FSI354" s="27"/>
      <c r="FSJ354" s="27"/>
      <c r="FSK354" s="27"/>
      <c r="FSL354" s="27"/>
      <c r="FSM354" s="27"/>
      <c r="FSN354" s="27"/>
      <c r="FSO354" s="27"/>
      <c r="FSP354" s="27"/>
      <c r="FSQ354" s="27"/>
      <c r="FSR354" s="27"/>
      <c r="FSS354" s="27"/>
      <c r="FST354" s="27"/>
      <c r="FSU354" s="27"/>
      <c r="FSV354" s="27"/>
      <c r="FSW354" s="27"/>
      <c r="FSX354" s="27"/>
      <c r="FSY354" s="27"/>
      <c r="FSZ354" s="27"/>
      <c r="FTA354" s="27"/>
      <c r="FTB354" s="27"/>
      <c r="FTC354" s="27"/>
      <c r="FTD354" s="27"/>
      <c r="FTE354" s="27"/>
      <c r="FTF354" s="27"/>
      <c r="FTG354" s="27"/>
      <c r="FTH354" s="27"/>
      <c r="FTI354" s="27"/>
      <c r="FTJ354" s="27"/>
      <c r="FTK354" s="27"/>
      <c r="FTL354" s="27"/>
      <c r="FTM354" s="27"/>
      <c r="FTN354" s="27"/>
      <c r="FTO354" s="27"/>
      <c r="FTP354" s="27"/>
      <c r="FTQ354" s="27"/>
      <c r="FTR354" s="27"/>
      <c r="FTS354" s="27"/>
      <c r="FTT354" s="27"/>
      <c r="FTU354" s="27"/>
      <c r="FTV354" s="27"/>
      <c r="FTW354" s="27"/>
      <c r="FTX354" s="27"/>
      <c r="FTY354" s="27"/>
      <c r="FTZ354" s="27"/>
      <c r="FUA354" s="27"/>
      <c r="FUB354" s="27"/>
      <c r="FUC354" s="27"/>
      <c r="FUD354" s="27"/>
      <c r="FUE354" s="27"/>
      <c r="FUF354" s="27"/>
      <c r="FUG354" s="27"/>
      <c r="FUH354" s="27"/>
      <c r="FUI354" s="27"/>
      <c r="FUJ354" s="27"/>
      <c r="FUK354" s="27"/>
      <c r="FUL354" s="27"/>
      <c r="FUM354" s="27"/>
      <c r="FUN354" s="27"/>
      <c r="FUO354" s="27"/>
      <c r="FUP354" s="27"/>
      <c r="FUQ354" s="27"/>
      <c r="FUR354" s="27"/>
      <c r="FUS354" s="27"/>
      <c r="FUT354" s="27"/>
      <c r="FUU354" s="27"/>
      <c r="FUV354" s="27"/>
      <c r="FUW354" s="27"/>
      <c r="FUX354" s="27"/>
      <c r="FUY354" s="27"/>
      <c r="FUZ354" s="27"/>
      <c r="FVA354" s="27"/>
      <c r="FVB354" s="27"/>
      <c r="FVC354" s="27"/>
      <c r="FVD354" s="27"/>
      <c r="FVE354" s="27"/>
      <c r="FVF354" s="27"/>
      <c r="FVG354" s="27"/>
      <c r="FVH354" s="27"/>
      <c r="FVI354" s="27"/>
      <c r="FVJ354" s="27"/>
      <c r="FVK354" s="27"/>
      <c r="FVL354" s="27"/>
      <c r="FVM354" s="27"/>
      <c r="FVN354" s="27"/>
      <c r="FVO354" s="27"/>
      <c r="FVP354" s="27"/>
      <c r="FVQ354" s="27"/>
      <c r="FVR354" s="27"/>
      <c r="FVS354" s="27"/>
      <c r="FVT354" s="27"/>
      <c r="FVU354" s="27"/>
      <c r="FVV354" s="27"/>
      <c r="FVW354" s="27"/>
      <c r="FVX354" s="27"/>
      <c r="FVY354" s="27"/>
      <c r="FVZ354" s="27"/>
      <c r="FWA354" s="27"/>
      <c r="FWB354" s="27"/>
      <c r="FWC354" s="27"/>
      <c r="FWD354" s="27"/>
      <c r="FWE354" s="27"/>
      <c r="FWF354" s="27"/>
      <c r="FWG354" s="27"/>
      <c r="FWH354" s="27"/>
      <c r="FWI354" s="27"/>
      <c r="FWJ354" s="27"/>
      <c r="FWK354" s="27"/>
      <c r="FWL354" s="27"/>
      <c r="FWM354" s="27"/>
      <c r="FWN354" s="27"/>
      <c r="FWO354" s="27"/>
      <c r="FWP354" s="27"/>
      <c r="FWQ354" s="27"/>
      <c r="FWR354" s="27"/>
      <c r="FWS354" s="27"/>
      <c r="FWT354" s="27"/>
      <c r="FWU354" s="27"/>
      <c r="FWV354" s="27"/>
      <c r="FWW354" s="27"/>
      <c r="FWX354" s="27"/>
      <c r="FWY354" s="27"/>
      <c r="FWZ354" s="27"/>
      <c r="FXA354" s="27"/>
      <c r="FXB354" s="27"/>
      <c r="FXC354" s="27"/>
      <c r="FXD354" s="27"/>
      <c r="FXE354" s="27"/>
      <c r="FXF354" s="27"/>
      <c r="FXG354" s="27"/>
      <c r="FXH354" s="27"/>
      <c r="FXI354" s="27"/>
      <c r="FXJ354" s="27"/>
      <c r="FXK354" s="27"/>
      <c r="FXL354" s="27"/>
      <c r="FXM354" s="27"/>
      <c r="FXN354" s="27"/>
      <c r="FXO354" s="27"/>
      <c r="FXP354" s="27"/>
      <c r="FXQ354" s="27"/>
      <c r="FXR354" s="27"/>
      <c r="FXS354" s="27"/>
      <c r="FXT354" s="27"/>
      <c r="FXU354" s="27"/>
      <c r="FXV354" s="27"/>
      <c r="FXW354" s="27"/>
      <c r="FXX354" s="27"/>
      <c r="FXY354" s="27"/>
      <c r="FXZ354" s="27"/>
      <c r="FYA354" s="27"/>
      <c r="FYB354" s="27"/>
      <c r="FYC354" s="27"/>
      <c r="FYD354" s="27"/>
      <c r="FYE354" s="27"/>
      <c r="FYF354" s="27"/>
      <c r="FYG354" s="27"/>
      <c r="FYH354" s="27"/>
      <c r="FYI354" s="27"/>
      <c r="FYJ354" s="27"/>
      <c r="FYK354" s="27"/>
      <c r="FYL354" s="27"/>
      <c r="FYM354" s="27"/>
      <c r="FYN354" s="27"/>
      <c r="FYO354" s="27"/>
      <c r="FYP354" s="27"/>
      <c r="FYQ354" s="27"/>
      <c r="FYR354" s="27"/>
      <c r="FYS354" s="27"/>
      <c r="FYT354" s="27"/>
      <c r="FYU354" s="27"/>
      <c r="FYV354" s="27"/>
      <c r="FYW354" s="27"/>
      <c r="FYX354" s="27"/>
      <c r="FYY354" s="27"/>
      <c r="FYZ354" s="27"/>
      <c r="FZA354" s="27"/>
      <c r="FZB354" s="27"/>
      <c r="FZC354" s="27"/>
      <c r="FZD354" s="27"/>
      <c r="FZE354" s="27"/>
      <c r="FZF354" s="27"/>
      <c r="FZG354" s="27"/>
      <c r="FZH354" s="27"/>
      <c r="FZI354" s="27"/>
      <c r="FZJ354" s="27"/>
      <c r="FZK354" s="27"/>
      <c r="FZL354" s="27"/>
      <c r="FZM354" s="27"/>
      <c r="FZN354" s="27"/>
      <c r="FZO354" s="27"/>
      <c r="FZP354" s="27"/>
      <c r="FZQ354" s="27"/>
      <c r="FZR354" s="27"/>
      <c r="FZS354" s="27"/>
      <c r="FZT354" s="27"/>
      <c r="FZU354" s="27"/>
      <c r="FZV354" s="27"/>
      <c r="FZW354" s="27"/>
      <c r="FZX354" s="27"/>
      <c r="FZY354" s="27"/>
      <c r="FZZ354" s="27"/>
      <c r="GAA354" s="27"/>
      <c r="GAB354" s="27"/>
      <c r="GAC354" s="27"/>
      <c r="GAD354" s="27"/>
      <c r="GAE354" s="27"/>
      <c r="GAF354" s="27"/>
      <c r="GAG354" s="27"/>
      <c r="GAH354" s="27"/>
      <c r="GAI354" s="27"/>
      <c r="GAJ354" s="27"/>
      <c r="GAK354" s="27"/>
      <c r="GAL354" s="27"/>
      <c r="GAM354" s="27"/>
      <c r="GAN354" s="27"/>
      <c r="GAO354" s="27"/>
      <c r="GAP354" s="27"/>
      <c r="GAQ354" s="27"/>
      <c r="GAR354" s="27"/>
      <c r="GAS354" s="27"/>
      <c r="GAT354" s="27"/>
      <c r="GAU354" s="27"/>
      <c r="GAV354" s="27"/>
      <c r="GAW354" s="27"/>
      <c r="GAX354" s="27"/>
      <c r="GAY354" s="27"/>
      <c r="GAZ354" s="27"/>
      <c r="GBA354" s="27"/>
      <c r="GBB354" s="27"/>
      <c r="GBC354" s="27"/>
      <c r="GBD354" s="27"/>
      <c r="GBE354" s="27"/>
      <c r="GBF354" s="27"/>
      <c r="GBG354" s="27"/>
      <c r="GBH354" s="27"/>
      <c r="GBI354" s="27"/>
      <c r="GBJ354" s="27"/>
      <c r="GBK354" s="27"/>
      <c r="GBL354" s="27"/>
      <c r="GBM354" s="27"/>
      <c r="GBN354" s="27"/>
      <c r="GBO354" s="27"/>
      <c r="GBP354" s="27"/>
      <c r="GBQ354" s="27"/>
      <c r="GBR354" s="27"/>
      <c r="GBS354" s="27"/>
      <c r="GBT354" s="27"/>
      <c r="GBU354" s="27"/>
      <c r="GBV354" s="27"/>
      <c r="GBW354" s="27"/>
      <c r="GBX354" s="27"/>
      <c r="GBY354" s="27"/>
      <c r="GBZ354" s="27"/>
      <c r="GCA354" s="27"/>
      <c r="GCB354" s="27"/>
      <c r="GCC354" s="27"/>
      <c r="GCD354" s="27"/>
      <c r="GCE354" s="27"/>
      <c r="GCF354" s="27"/>
      <c r="GCG354" s="27"/>
      <c r="GCH354" s="27"/>
      <c r="GCI354" s="27"/>
      <c r="GCJ354" s="27"/>
      <c r="GCK354" s="27"/>
      <c r="GCL354" s="27"/>
      <c r="GCM354" s="27"/>
      <c r="GCN354" s="27"/>
      <c r="GCO354" s="27"/>
      <c r="GCP354" s="27"/>
      <c r="GCQ354" s="27"/>
      <c r="GCR354" s="27"/>
      <c r="GCS354" s="27"/>
      <c r="GCT354" s="27"/>
      <c r="GCU354" s="27"/>
      <c r="GCV354" s="27"/>
      <c r="GCW354" s="27"/>
      <c r="GCX354" s="27"/>
      <c r="GCY354" s="27"/>
      <c r="GCZ354" s="27"/>
      <c r="GDA354" s="27"/>
      <c r="GDB354" s="27"/>
      <c r="GDC354" s="27"/>
      <c r="GDD354" s="27"/>
      <c r="GDE354" s="27"/>
      <c r="GDF354" s="27"/>
      <c r="GDG354" s="27"/>
      <c r="GDH354" s="27"/>
      <c r="GDI354" s="27"/>
      <c r="GDJ354" s="27"/>
      <c r="GDK354" s="27"/>
      <c r="GDL354" s="27"/>
      <c r="GDM354" s="27"/>
      <c r="GDN354" s="27"/>
      <c r="GDO354" s="27"/>
      <c r="GDP354" s="27"/>
      <c r="GDQ354" s="27"/>
      <c r="GDR354" s="27"/>
      <c r="GDS354" s="27"/>
      <c r="GDT354" s="27"/>
      <c r="GDU354" s="27"/>
      <c r="GDV354" s="27"/>
      <c r="GDW354" s="27"/>
      <c r="GDX354" s="27"/>
      <c r="GDY354" s="27"/>
      <c r="GDZ354" s="27"/>
      <c r="GEA354" s="27"/>
      <c r="GEB354" s="27"/>
      <c r="GEC354" s="27"/>
      <c r="GED354" s="27"/>
      <c r="GEE354" s="27"/>
      <c r="GEF354" s="27"/>
      <c r="GEG354" s="27"/>
      <c r="GEH354" s="27"/>
      <c r="GEI354" s="27"/>
      <c r="GEJ354" s="27"/>
      <c r="GEK354" s="27"/>
      <c r="GEL354" s="27"/>
      <c r="GEM354" s="27"/>
      <c r="GEN354" s="27"/>
      <c r="GEO354" s="27"/>
      <c r="GEP354" s="27"/>
      <c r="GEQ354" s="27"/>
      <c r="GER354" s="27"/>
      <c r="GES354" s="27"/>
      <c r="GET354" s="27"/>
      <c r="GEU354" s="27"/>
      <c r="GEV354" s="27"/>
      <c r="GEW354" s="27"/>
      <c r="GEX354" s="27"/>
      <c r="GEY354" s="27"/>
      <c r="GEZ354" s="27"/>
      <c r="GFA354" s="27"/>
      <c r="GFB354" s="27"/>
      <c r="GFC354" s="27"/>
      <c r="GFD354" s="27"/>
      <c r="GFE354" s="27"/>
      <c r="GFF354" s="27"/>
      <c r="GFG354" s="27"/>
      <c r="GFH354" s="27"/>
      <c r="GFI354" s="27"/>
      <c r="GFJ354" s="27"/>
      <c r="GFK354" s="27"/>
      <c r="GFL354" s="27"/>
      <c r="GFM354" s="27"/>
      <c r="GFN354" s="27"/>
      <c r="GFO354" s="27"/>
      <c r="GFP354" s="27"/>
      <c r="GFQ354" s="27"/>
      <c r="GFR354" s="27"/>
      <c r="GFS354" s="27"/>
      <c r="GFT354" s="27"/>
      <c r="GFU354" s="27"/>
      <c r="GFV354" s="27"/>
      <c r="GFW354" s="27"/>
      <c r="GFX354" s="27"/>
      <c r="GFY354" s="27"/>
      <c r="GFZ354" s="27"/>
      <c r="GGA354" s="27"/>
      <c r="GGB354" s="27"/>
      <c r="GGC354" s="27"/>
      <c r="GGD354" s="27"/>
      <c r="GGE354" s="27"/>
      <c r="GGF354" s="27"/>
      <c r="GGG354" s="27"/>
      <c r="GGH354" s="27"/>
      <c r="GGI354" s="27"/>
      <c r="GGJ354" s="27"/>
      <c r="GGK354" s="27"/>
      <c r="GGL354" s="27"/>
      <c r="GGM354" s="27"/>
      <c r="GGN354" s="27"/>
      <c r="GGO354" s="27"/>
      <c r="GGP354" s="27"/>
      <c r="GGQ354" s="27"/>
      <c r="GGR354" s="27"/>
      <c r="GGS354" s="27"/>
      <c r="GGT354" s="27"/>
      <c r="GGU354" s="27"/>
      <c r="GGV354" s="27"/>
      <c r="GGW354" s="27"/>
      <c r="GGX354" s="27"/>
      <c r="GGY354" s="27"/>
      <c r="GGZ354" s="27"/>
      <c r="GHA354" s="27"/>
      <c r="GHB354" s="27"/>
      <c r="GHC354" s="27"/>
      <c r="GHD354" s="27"/>
      <c r="GHE354" s="27"/>
      <c r="GHF354" s="27"/>
      <c r="GHG354" s="27"/>
      <c r="GHH354" s="27"/>
      <c r="GHI354" s="27"/>
      <c r="GHJ354" s="27"/>
      <c r="GHK354" s="27"/>
      <c r="GHL354" s="27"/>
      <c r="GHM354" s="27"/>
      <c r="GHN354" s="27"/>
      <c r="GHO354" s="27"/>
      <c r="GHP354" s="27"/>
      <c r="GHQ354" s="27"/>
      <c r="GHR354" s="27"/>
      <c r="GHS354" s="27"/>
      <c r="GHT354" s="27"/>
      <c r="GHU354" s="27"/>
      <c r="GHV354" s="27"/>
      <c r="GHW354" s="27"/>
      <c r="GHX354" s="27"/>
      <c r="GHY354" s="27"/>
      <c r="GHZ354" s="27"/>
      <c r="GIA354" s="27"/>
      <c r="GIB354" s="27"/>
      <c r="GIC354" s="27"/>
      <c r="GID354" s="27"/>
      <c r="GIE354" s="27"/>
      <c r="GIF354" s="27"/>
      <c r="GIG354" s="27"/>
      <c r="GIH354" s="27"/>
      <c r="GII354" s="27"/>
      <c r="GIJ354" s="27"/>
      <c r="GIK354" s="27"/>
      <c r="GIL354" s="27"/>
      <c r="GIM354" s="27"/>
      <c r="GIN354" s="27"/>
      <c r="GIO354" s="27"/>
      <c r="GIP354" s="27"/>
      <c r="GIQ354" s="27"/>
      <c r="GIR354" s="27"/>
      <c r="GIS354" s="27"/>
      <c r="GIT354" s="27"/>
      <c r="GIU354" s="27"/>
      <c r="GIV354" s="27"/>
      <c r="GIW354" s="27"/>
      <c r="GIX354" s="27"/>
      <c r="GIY354" s="27"/>
      <c r="GIZ354" s="27"/>
      <c r="GJA354" s="27"/>
      <c r="GJB354" s="27"/>
      <c r="GJC354" s="27"/>
      <c r="GJD354" s="27"/>
      <c r="GJE354" s="27"/>
      <c r="GJF354" s="27"/>
      <c r="GJG354" s="27"/>
      <c r="GJH354" s="27"/>
      <c r="GJI354" s="27"/>
      <c r="GJJ354" s="27"/>
      <c r="GJK354" s="27"/>
      <c r="GJL354" s="27"/>
      <c r="GJM354" s="27"/>
      <c r="GJN354" s="27"/>
      <c r="GJO354" s="27"/>
      <c r="GJP354" s="27"/>
      <c r="GJQ354" s="27"/>
      <c r="GJR354" s="27"/>
      <c r="GJS354" s="27"/>
      <c r="GJT354" s="27"/>
      <c r="GJU354" s="27"/>
      <c r="GJV354" s="27"/>
      <c r="GJW354" s="27"/>
      <c r="GJX354" s="27"/>
      <c r="GJY354" s="27"/>
      <c r="GJZ354" s="27"/>
      <c r="GKA354" s="27"/>
      <c r="GKB354" s="27"/>
      <c r="GKC354" s="27"/>
      <c r="GKD354" s="27"/>
      <c r="GKE354" s="27"/>
      <c r="GKF354" s="27"/>
      <c r="GKG354" s="27"/>
      <c r="GKH354" s="27"/>
      <c r="GKI354" s="27"/>
      <c r="GKJ354" s="27"/>
      <c r="GKK354" s="27"/>
      <c r="GKL354" s="27"/>
      <c r="GKM354" s="27"/>
      <c r="GKN354" s="27"/>
      <c r="GKO354" s="27"/>
      <c r="GKP354" s="27"/>
      <c r="GKQ354" s="27"/>
      <c r="GKR354" s="27"/>
      <c r="GKS354" s="27"/>
      <c r="GKT354" s="27"/>
      <c r="GKU354" s="27"/>
      <c r="GKV354" s="27"/>
      <c r="GKW354" s="27"/>
      <c r="GKX354" s="27"/>
      <c r="GKY354" s="27"/>
      <c r="GKZ354" s="27"/>
      <c r="GLA354" s="27"/>
      <c r="GLB354" s="27"/>
      <c r="GLC354" s="27"/>
      <c r="GLD354" s="27"/>
      <c r="GLE354" s="27"/>
      <c r="GLF354" s="27"/>
      <c r="GLG354" s="27"/>
      <c r="GLH354" s="27"/>
      <c r="GLI354" s="27"/>
      <c r="GLJ354" s="27"/>
      <c r="GLK354" s="27"/>
      <c r="GLL354" s="27"/>
      <c r="GLM354" s="27"/>
      <c r="GLN354" s="27"/>
      <c r="GLO354" s="27"/>
      <c r="GLP354" s="27"/>
      <c r="GLQ354" s="27"/>
      <c r="GLR354" s="27"/>
      <c r="GLS354" s="27"/>
      <c r="GLT354" s="27"/>
      <c r="GLU354" s="27"/>
      <c r="GLV354" s="27"/>
      <c r="GLW354" s="27"/>
      <c r="GLX354" s="27"/>
      <c r="GLY354" s="27"/>
      <c r="GLZ354" s="27"/>
      <c r="GMA354" s="27"/>
      <c r="GMB354" s="27"/>
      <c r="GMC354" s="27"/>
      <c r="GMD354" s="27"/>
      <c r="GME354" s="27"/>
      <c r="GMF354" s="27"/>
      <c r="GMG354" s="27"/>
      <c r="GMH354" s="27"/>
      <c r="GMI354" s="27"/>
      <c r="GMJ354" s="27"/>
      <c r="GMK354" s="27"/>
      <c r="GML354" s="27"/>
      <c r="GMM354" s="27"/>
      <c r="GMN354" s="27"/>
      <c r="GMO354" s="27"/>
      <c r="GMP354" s="27"/>
      <c r="GMQ354" s="27"/>
      <c r="GMR354" s="27"/>
      <c r="GMS354" s="27"/>
      <c r="GMT354" s="27"/>
      <c r="GMU354" s="27"/>
      <c r="GMV354" s="27"/>
      <c r="GMW354" s="27"/>
      <c r="GMX354" s="27"/>
      <c r="GMY354" s="27"/>
      <c r="GMZ354" s="27"/>
      <c r="GNA354" s="27"/>
      <c r="GNB354" s="27"/>
      <c r="GNC354" s="27"/>
      <c r="GND354" s="27"/>
      <c r="GNE354" s="27"/>
      <c r="GNF354" s="27"/>
      <c r="GNG354" s="27"/>
      <c r="GNH354" s="27"/>
      <c r="GNI354" s="27"/>
      <c r="GNJ354" s="27"/>
      <c r="GNK354" s="27"/>
      <c r="GNL354" s="27"/>
      <c r="GNM354" s="27"/>
      <c r="GNN354" s="27"/>
      <c r="GNO354" s="27"/>
      <c r="GNP354" s="27"/>
      <c r="GNQ354" s="27"/>
      <c r="GNR354" s="27"/>
      <c r="GNS354" s="27"/>
      <c r="GNT354" s="27"/>
      <c r="GNU354" s="27"/>
      <c r="GNV354" s="27"/>
      <c r="GNW354" s="27"/>
      <c r="GNX354" s="27"/>
      <c r="GNY354" s="27"/>
      <c r="GNZ354" s="27"/>
      <c r="GOA354" s="27"/>
      <c r="GOB354" s="27"/>
      <c r="GOC354" s="27"/>
      <c r="GOD354" s="27"/>
      <c r="GOE354" s="27"/>
      <c r="GOF354" s="27"/>
      <c r="GOG354" s="27"/>
      <c r="GOH354" s="27"/>
      <c r="GOI354" s="27"/>
      <c r="GOJ354" s="27"/>
      <c r="GOK354" s="27"/>
      <c r="GOL354" s="27"/>
      <c r="GOM354" s="27"/>
      <c r="GON354" s="27"/>
      <c r="GOO354" s="27"/>
      <c r="GOP354" s="27"/>
      <c r="GOQ354" s="27"/>
      <c r="GOR354" s="27"/>
      <c r="GOS354" s="27"/>
      <c r="GOT354" s="27"/>
      <c r="GOU354" s="27"/>
      <c r="GOV354" s="27"/>
      <c r="GOW354" s="27"/>
      <c r="GOX354" s="27"/>
      <c r="GOY354" s="27"/>
      <c r="GOZ354" s="27"/>
      <c r="GPA354" s="27"/>
      <c r="GPB354" s="27"/>
      <c r="GPC354" s="27"/>
      <c r="GPD354" s="27"/>
      <c r="GPE354" s="27"/>
      <c r="GPF354" s="27"/>
      <c r="GPG354" s="27"/>
      <c r="GPH354" s="27"/>
      <c r="GPI354" s="27"/>
      <c r="GPJ354" s="27"/>
      <c r="GPK354" s="27"/>
      <c r="GPL354" s="27"/>
      <c r="GPM354" s="27"/>
      <c r="GPN354" s="27"/>
      <c r="GPO354" s="27"/>
      <c r="GPP354" s="27"/>
      <c r="GPQ354" s="27"/>
      <c r="GPR354" s="27"/>
      <c r="GPS354" s="27"/>
      <c r="GPT354" s="27"/>
      <c r="GPU354" s="27"/>
      <c r="GPV354" s="27"/>
      <c r="GPW354" s="27"/>
      <c r="GPX354" s="27"/>
      <c r="GPY354" s="27"/>
      <c r="GPZ354" s="27"/>
      <c r="GQA354" s="27"/>
      <c r="GQB354" s="27"/>
      <c r="GQC354" s="27"/>
      <c r="GQD354" s="27"/>
      <c r="GQE354" s="27"/>
      <c r="GQF354" s="27"/>
      <c r="GQG354" s="27"/>
      <c r="GQH354" s="27"/>
      <c r="GQI354" s="27"/>
      <c r="GQJ354" s="27"/>
      <c r="GQK354" s="27"/>
      <c r="GQL354" s="27"/>
      <c r="GQM354" s="27"/>
      <c r="GQN354" s="27"/>
      <c r="GQO354" s="27"/>
      <c r="GQP354" s="27"/>
      <c r="GQQ354" s="27"/>
      <c r="GQR354" s="27"/>
      <c r="GQS354" s="27"/>
      <c r="GQT354" s="27"/>
      <c r="GQU354" s="27"/>
      <c r="GQV354" s="27"/>
      <c r="GQW354" s="27"/>
      <c r="GQX354" s="27"/>
      <c r="GQY354" s="27"/>
      <c r="GQZ354" s="27"/>
      <c r="GRA354" s="27"/>
      <c r="GRB354" s="27"/>
      <c r="GRC354" s="27"/>
      <c r="GRD354" s="27"/>
      <c r="GRE354" s="27"/>
      <c r="GRF354" s="27"/>
      <c r="GRG354" s="27"/>
      <c r="GRH354" s="27"/>
      <c r="GRI354" s="27"/>
      <c r="GRJ354" s="27"/>
      <c r="GRK354" s="27"/>
      <c r="GRL354" s="27"/>
      <c r="GRM354" s="27"/>
      <c r="GRN354" s="27"/>
      <c r="GRO354" s="27"/>
      <c r="GRP354" s="27"/>
      <c r="GRQ354" s="27"/>
      <c r="GRR354" s="27"/>
      <c r="GRS354" s="27"/>
      <c r="GRT354" s="27"/>
      <c r="GRU354" s="27"/>
      <c r="GRV354" s="27"/>
      <c r="GRW354" s="27"/>
      <c r="GRX354" s="27"/>
      <c r="GRY354" s="27"/>
      <c r="GRZ354" s="27"/>
      <c r="GSA354" s="27"/>
      <c r="GSB354" s="27"/>
      <c r="GSC354" s="27"/>
      <c r="GSD354" s="27"/>
      <c r="GSE354" s="27"/>
      <c r="GSF354" s="27"/>
      <c r="GSG354" s="27"/>
      <c r="GSH354" s="27"/>
      <c r="GSI354" s="27"/>
      <c r="GSJ354" s="27"/>
      <c r="GSK354" s="27"/>
      <c r="GSL354" s="27"/>
      <c r="GSM354" s="27"/>
      <c r="GSN354" s="27"/>
      <c r="GSO354" s="27"/>
      <c r="GSP354" s="27"/>
      <c r="GSQ354" s="27"/>
      <c r="GSR354" s="27"/>
      <c r="GSS354" s="27"/>
      <c r="GST354" s="27"/>
      <c r="GSU354" s="27"/>
      <c r="GSV354" s="27"/>
      <c r="GSW354" s="27"/>
      <c r="GSX354" s="27"/>
      <c r="GSY354" s="27"/>
      <c r="GSZ354" s="27"/>
      <c r="GTA354" s="27"/>
      <c r="GTB354" s="27"/>
      <c r="GTC354" s="27"/>
      <c r="GTD354" s="27"/>
      <c r="GTE354" s="27"/>
      <c r="GTF354" s="27"/>
      <c r="GTG354" s="27"/>
      <c r="GTH354" s="27"/>
      <c r="GTI354" s="27"/>
      <c r="GTJ354" s="27"/>
      <c r="GTK354" s="27"/>
      <c r="GTL354" s="27"/>
      <c r="GTM354" s="27"/>
      <c r="GTN354" s="27"/>
      <c r="GTO354" s="27"/>
      <c r="GTP354" s="27"/>
      <c r="GTQ354" s="27"/>
      <c r="GTR354" s="27"/>
      <c r="GTS354" s="27"/>
      <c r="GTT354" s="27"/>
      <c r="GTU354" s="27"/>
      <c r="GTV354" s="27"/>
      <c r="GTW354" s="27"/>
      <c r="GTX354" s="27"/>
      <c r="GTY354" s="27"/>
      <c r="GTZ354" s="27"/>
      <c r="GUA354" s="27"/>
      <c r="GUB354" s="27"/>
      <c r="GUC354" s="27"/>
      <c r="GUD354" s="27"/>
      <c r="GUE354" s="27"/>
      <c r="GUF354" s="27"/>
      <c r="GUG354" s="27"/>
      <c r="GUH354" s="27"/>
      <c r="GUI354" s="27"/>
      <c r="GUJ354" s="27"/>
      <c r="GUK354" s="27"/>
      <c r="GUL354" s="27"/>
      <c r="GUM354" s="27"/>
      <c r="GUN354" s="27"/>
      <c r="GUO354" s="27"/>
      <c r="GUP354" s="27"/>
      <c r="GUQ354" s="27"/>
      <c r="GUR354" s="27"/>
      <c r="GUS354" s="27"/>
      <c r="GUT354" s="27"/>
      <c r="GUU354" s="27"/>
      <c r="GUV354" s="27"/>
      <c r="GUW354" s="27"/>
      <c r="GUX354" s="27"/>
      <c r="GUY354" s="27"/>
      <c r="GUZ354" s="27"/>
      <c r="GVA354" s="27"/>
      <c r="GVB354" s="27"/>
      <c r="GVC354" s="27"/>
      <c r="GVD354" s="27"/>
      <c r="GVE354" s="27"/>
      <c r="GVF354" s="27"/>
      <c r="GVG354" s="27"/>
      <c r="GVH354" s="27"/>
      <c r="GVI354" s="27"/>
      <c r="GVJ354" s="27"/>
      <c r="GVK354" s="27"/>
      <c r="GVL354" s="27"/>
      <c r="GVM354" s="27"/>
      <c r="GVN354" s="27"/>
      <c r="GVO354" s="27"/>
      <c r="GVP354" s="27"/>
      <c r="GVQ354" s="27"/>
      <c r="GVR354" s="27"/>
      <c r="GVS354" s="27"/>
      <c r="GVT354" s="27"/>
      <c r="GVU354" s="27"/>
      <c r="GVV354" s="27"/>
      <c r="GVW354" s="27"/>
      <c r="GVX354" s="27"/>
      <c r="GVY354" s="27"/>
      <c r="GVZ354" s="27"/>
      <c r="GWA354" s="27"/>
      <c r="GWB354" s="27"/>
      <c r="GWC354" s="27"/>
      <c r="GWD354" s="27"/>
      <c r="GWE354" s="27"/>
      <c r="GWF354" s="27"/>
      <c r="GWG354" s="27"/>
      <c r="GWH354" s="27"/>
      <c r="GWI354" s="27"/>
      <c r="GWJ354" s="27"/>
      <c r="GWK354" s="27"/>
      <c r="GWL354" s="27"/>
      <c r="GWM354" s="27"/>
      <c r="GWN354" s="27"/>
      <c r="GWO354" s="27"/>
      <c r="GWP354" s="27"/>
      <c r="GWQ354" s="27"/>
      <c r="GWR354" s="27"/>
      <c r="GWS354" s="27"/>
      <c r="GWT354" s="27"/>
      <c r="GWU354" s="27"/>
      <c r="GWV354" s="27"/>
      <c r="GWW354" s="27"/>
      <c r="GWX354" s="27"/>
      <c r="GWY354" s="27"/>
      <c r="GWZ354" s="27"/>
      <c r="GXA354" s="27"/>
      <c r="GXB354" s="27"/>
      <c r="GXC354" s="27"/>
      <c r="GXD354" s="27"/>
      <c r="GXE354" s="27"/>
      <c r="GXF354" s="27"/>
      <c r="GXG354" s="27"/>
      <c r="GXH354" s="27"/>
      <c r="GXI354" s="27"/>
      <c r="GXJ354" s="27"/>
      <c r="GXK354" s="27"/>
      <c r="GXL354" s="27"/>
      <c r="GXM354" s="27"/>
      <c r="GXN354" s="27"/>
      <c r="GXO354" s="27"/>
      <c r="GXP354" s="27"/>
      <c r="GXQ354" s="27"/>
      <c r="GXR354" s="27"/>
      <c r="GXS354" s="27"/>
      <c r="GXT354" s="27"/>
      <c r="GXU354" s="27"/>
      <c r="GXV354" s="27"/>
      <c r="GXW354" s="27"/>
      <c r="GXX354" s="27"/>
      <c r="GXY354" s="27"/>
      <c r="GXZ354" s="27"/>
      <c r="GYA354" s="27"/>
      <c r="GYB354" s="27"/>
      <c r="GYC354" s="27"/>
      <c r="GYD354" s="27"/>
      <c r="GYE354" s="27"/>
      <c r="GYF354" s="27"/>
      <c r="GYG354" s="27"/>
      <c r="GYH354" s="27"/>
      <c r="GYI354" s="27"/>
      <c r="GYJ354" s="27"/>
      <c r="GYK354" s="27"/>
      <c r="GYL354" s="27"/>
      <c r="GYM354" s="27"/>
      <c r="GYN354" s="27"/>
      <c r="GYO354" s="27"/>
      <c r="GYP354" s="27"/>
      <c r="GYQ354" s="27"/>
      <c r="GYR354" s="27"/>
      <c r="GYS354" s="27"/>
      <c r="GYT354" s="27"/>
      <c r="GYU354" s="27"/>
      <c r="GYV354" s="27"/>
      <c r="GYW354" s="27"/>
      <c r="GYX354" s="27"/>
      <c r="GYY354" s="27"/>
      <c r="GYZ354" s="27"/>
      <c r="GZA354" s="27"/>
      <c r="GZB354" s="27"/>
      <c r="GZC354" s="27"/>
      <c r="GZD354" s="27"/>
      <c r="GZE354" s="27"/>
      <c r="GZF354" s="27"/>
      <c r="GZG354" s="27"/>
      <c r="GZH354" s="27"/>
      <c r="GZI354" s="27"/>
      <c r="GZJ354" s="27"/>
      <c r="GZK354" s="27"/>
      <c r="GZL354" s="27"/>
      <c r="GZM354" s="27"/>
      <c r="GZN354" s="27"/>
      <c r="GZO354" s="27"/>
      <c r="GZP354" s="27"/>
      <c r="GZQ354" s="27"/>
      <c r="GZR354" s="27"/>
      <c r="GZS354" s="27"/>
      <c r="GZT354" s="27"/>
      <c r="GZU354" s="27"/>
      <c r="GZV354" s="27"/>
      <c r="GZW354" s="27"/>
      <c r="GZX354" s="27"/>
      <c r="GZY354" s="27"/>
      <c r="GZZ354" s="27"/>
      <c r="HAA354" s="27"/>
      <c r="HAB354" s="27"/>
      <c r="HAC354" s="27"/>
      <c r="HAD354" s="27"/>
      <c r="HAE354" s="27"/>
      <c r="HAF354" s="27"/>
      <c r="HAG354" s="27"/>
      <c r="HAH354" s="27"/>
      <c r="HAI354" s="27"/>
      <c r="HAJ354" s="27"/>
      <c r="HAK354" s="27"/>
      <c r="HAL354" s="27"/>
      <c r="HAM354" s="27"/>
      <c r="HAN354" s="27"/>
      <c r="HAO354" s="27"/>
      <c r="HAP354" s="27"/>
      <c r="HAQ354" s="27"/>
      <c r="HAR354" s="27"/>
      <c r="HAS354" s="27"/>
      <c r="HAT354" s="27"/>
      <c r="HAU354" s="27"/>
      <c r="HAV354" s="27"/>
      <c r="HAW354" s="27"/>
      <c r="HAX354" s="27"/>
      <c r="HAY354" s="27"/>
      <c r="HAZ354" s="27"/>
      <c r="HBA354" s="27"/>
      <c r="HBB354" s="27"/>
      <c r="HBC354" s="27"/>
      <c r="HBD354" s="27"/>
      <c r="HBE354" s="27"/>
      <c r="HBF354" s="27"/>
      <c r="HBG354" s="27"/>
      <c r="HBH354" s="27"/>
      <c r="HBI354" s="27"/>
      <c r="HBJ354" s="27"/>
      <c r="HBK354" s="27"/>
      <c r="HBL354" s="27"/>
      <c r="HBM354" s="27"/>
      <c r="HBN354" s="27"/>
      <c r="HBO354" s="27"/>
      <c r="HBP354" s="27"/>
      <c r="HBQ354" s="27"/>
      <c r="HBR354" s="27"/>
      <c r="HBS354" s="27"/>
      <c r="HBT354" s="27"/>
      <c r="HBU354" s="27"/>
      <c r="HBV354" s="27"/>
      <c r="HBW354" s="27"/>
      <c r="HBX354" s="27"/>
      <c r="HBY354" s="27"/>
      <c r="HBZ354" s="27"/>
      <c r="HCA354" s="27"/>
      <c r="HCB354" s="27"/>
      <c r="HCC354" s="27"/>
      <c r="HCD354" s="27"/>
      <c r="HCE354" s="27"/>
      <c r="HCF354" s="27"/>
      <c r="HCG354" s="27"/>
      <c r="HCH354" s="27"/>
      <c r="HCI354" s="27"/>
      <c r="HCJ354" s="27"/>
      <c r="HCK354" s="27"/>
      <c r="HCL354" s="27"/>
      <c r="HCM354" s="27"/>
      <c r="HCN354" s="27"/>
      <c r="HCO354" s="27"/>
      <c r="HCP354" s="27"/>
      <c r="HCQ354" s="27"/>
      <c r="HCR354" s="27"/>
      <c r="HCS354" s="27"/>
      <c r="HCT354" s="27"/>
      <c r="HCU354" s="27"/>
      <c r="HCV354" s="27"/>
      <c r="HCW354" s="27"/>
      <c r="HCX354" s="27"/>
      <c r="HCY354" s="27"/>
      <c r="HCZ354" s="27"/>
      <c r="HDA354" s="27"/>
      <c r="HDB354" s="27"/>
      <c r="HDC354" s="27"/>
      <c r="HDD354" s="27"/>
      <c r="HDE354" s="27"/>
      <c r="HDF354" s="27"/>
      <c r="HDG354" s="27"/>
      <c r="HDH354" s="27"/>
      <c r="HDI354" s="27"/>
      <c r="HDJ354" s="27"/>
      <c r="HDK354" s="27"/>
      <c r="HDL354" s="27"/>
      <c r="HDM354" s="27"/>
      <c r="HDN354" s="27"/>
      <c r="HDO354" s="27"/>
      <c r="HDP354" s="27"/>
      <c r="HDQ354" s="27"/>
      <c r="HDR354" s="27"/>
      <c r="HDS354" s="27"/>
      <c r="HDT354" s="27"/>
      <c r="HDU354" s="27"/>
      <c r="HDV354" s="27"/>
      <c r="HDW354" s="27"/>
      <c r="HDX354" s="27"/>
      <c r="HDY354" s="27"/>
      <c r="HDZ354" s="27"/>
      <c r="HEA354" s="27"/>
      <c r="HEB354" s="27"/>
      <c r="HEC354" s="27"/>
      <c r="HED354" s="27"/>
      <c r="HEE354" s="27"/>
      <c r="HEF354" s="27"/>
      <c r="HEG354" s="27"/>
      <c r="HEH354" s="27"/>
      <c r="HEI354" s="27"/>
      <c r="HEJ354" s="27"/>
      <c r="HEK354" s="27"/>
      <c r="HEL354" s="27"/>
      <c r="HEM354" s="27"/>
      <c r="HEN354" s="27"/>
      <c r="HEO354" s="27"/>
      <c r="HEP354" s="27"/>
      <c r="HEQ354" s="27"/>
      <c r="HER354" s="27"/>
      <c r="HES354" s="27"/>
      <c r="HET354" s="27"/>
      <c r="HEU354" s="27"/>
      <c r="HEV354" s="27"/>
      <c r="HEW354" s="27"/>
      <c r="HEX354" s="27"/>
      <c r="HEY354" s="27"/>
      <c r="HEZ354" s="27"/>
      <c r="HFA354" s="27"/>
      <c r="HFB354" s="27"/>
      <c r="HFC354" s="27"/>
      <c r="HFD354" s="27"/>
      <c r="HFE354" s="27"/>
      <c r="HFF354" s="27"/>
      <c r="HFG354" s="27"/>
      <c r="HFH354" s="27"/>
      <c r="HFI354" s="27"/>
      <c r="HFJ354" s="27"/>
      <c r="HFK354" s="27"/>
      <c r="HFL354" s="27"/>
      <c r="HFM354" s="27"/>
      <c r="HFN354" s="27"/>
      <c r="HFO354" s="27"/>
      <c r="HFP354" s="27"/>
      <c r="HFQ354" s="27"/>
      <c r="HFR354" s="27"/>
      <c r="HFS354" s="27"/>
      <c r="HFT354" s="27"/>
      <c r="HFU354" s="27"/>
      <c r="HFV354" s="27"/>
      <c r="HFW354" s="27"/>
      <c r="HFX354" s="27"/>
      <c r="HFY354" s="27"/>
      <c r="HFZ354" s="27"/>
      <c r="HGA354" s="27"/>
      <c r="HGB354" s="27"/>
      <c r="HGC354" s="27"/>
      <c r="HGD354" s="27"/>
      <c r="HGE354" s="27"/>
      <c r="HGF354" s="27"/>
      <c r="HGG354" s="27"/>
      <c r="HGH354" s="27"/>
      <c r="HGI354" s="27"/>
      <c r="HGJ354" s="27"/>
      <c r="HGK354" s="27"/>
      <c r="HGL354" s="27"/>
      <c r="HGM354" s="27"/>
      <c r="HGN354" s="27"/>
      <c r="HGO354" s="27"/>
      <c r="HGP354" s="27"/>
      <c r="HGQ354" s="27"/>
      <c r="HGR354" s="27"/>
      <c r="HGS354" s="27"/>
      <c r="HGT354" s="27"/>
      <c r="HGU354" s="27"/>
      <c r="HGV354" s="27"/>
      <c r="HGW354" s="27"/>
      <c r="HGX354" s="27"/>
      <c r="HGY354" s="27"/>
      <c r="HGZ354" s="27"/>
      <c r="HHA354" s="27"/>
      <c r="HHB354" s="27"/>
      <c r="HHC354" s="27"/>
      <c r="HHD354" s="27"/>
      <c r="HHE354" s="27"/>
      <c r="HHF354" s="27"/>
      <c r="HHG354" s="27"/>
      <c r="HHH354" s="27"/>
      <c r="HHI354" s="27"/>
      <c r="HHJ354" s="27"/>
      <c r="HHK354" s="27"/>
      <c r="HHL354" s="27"/>
      <c r="HHM354" s="27"/>
      <c r="HHN354" s="27"/>
      <c r="HHO354" s="27"/>
      <c r="HHP354" s="27"/>
      <c r="HHQ354" s="27"/>
      <c r="HHR354" s="27"/>
      <c r="HHS354" s="27"/>
      <c r="HHT354" s="27"/>
      <c r="HHU354" s="27"/>
      <c r="HHV354" s="27"/>
      <c r="HHW354" s="27"/>
      <c r="HHX354" s="27"/>
      <c r="HHY354" s="27"/>
      <c r="HHZ354" s="27"/>
      <c r="HIA354" s="27"/>
      <c r="HIB354" s="27"/>
      <c r="HIC354" s="27"/>
      <c r="HID354" s="27"/>
      <c r="HIE354" s="27"/>
      <c r="HIF354" s="27"/>
      <c r="HIG354" s="27"/>
      <c r="HIH354" s="27"/>
      <c r="HII354" s="27"/>
      <c r="HIJ354" s="27"/>
      <c r="HIK354" s="27"/>
      <c r="HIL354" s="27"/>
      <c r="HIM354" s="27"/>
      <c r="HIN354" s="27"/>
      <c r="HIO354" s="27"/>
      <c r="HIP354" s="27"/>
      <c r="HIQ354" s="27"/>
      <c r="HIR354" s="27"/>
      <c r="HIS354" s="27"/>
      <c r="HIT354" s="27"/>
      <c r="HIU354" s="27"/>
      <c r="HIV354" s="27"/>
      <c r="HIW354" s="27"/>
      <c r="HIX354" s="27"/>
      <c r="HIY354" s="27"/>
      <c r="HIZ354" s="27"/>
      <c r="HJA354" s="27"/>
      <c r="HJB354" s="27"/>
      <c r="HJC354" s="27"/>
      <c r="HJD354" s="27"/>
      <c r="HJE354" s="27"/>
      <c r="HJF354" s="27"/>
      <c r="HJG354" s="27"/>
      <c r="HJH354" s="27"/>
      <c r="HJI354" s="27"/>
      <c r="HJJ354" s="27"/>
      <c r="HJK354" s="27"/>
      <c r="HJL354" s="27"/>
      <c r="HJM354" s="27"/>
      <c r="HJN354" s="27"/>
      <c r="HJO354" s="27"/>
      <c r="HJP354" s="27"/>
      <c r="HJQ354" s="27"/>
      <c r="HJR354" s="27"/>
      <c r="HJS354" s="27"/>
      <c r="HJT354" s="27"/>
      <c r="HJU354" s="27"/>
      <c r="HJV354" s="27"/>
      <c r="HJW354" s="27"/>
      <c r="HJX354" s="27"/>
      <c r="HJY354" s="27"/>
      <c r="HJZ354" s="27"/>
      <c r="HKA354" s="27"/>
      <c r="HKB354" s="27"/>
      <c r="HKC354" s="27"/>
      <c r="HKD354" s="27"/>
      <c r="HKE354" s="27"/>
      <c r="HKF354" s="27"/>
      <c r="HKG354" s="27"/>
      <c r="HKH354" s="27"/>
      <c r="HKI354" s="27"/>
      <c r="HKJ354" s="27"/>
      <c r="HKK354" s="27"/>
      <c r="HKL354" s="27"/>
      <c r="HKM354" s="27"/>
      <c r="HKN354" s="27"/>
      <c r="HKO354" s="27"/>
      <c r="HKP354" s="27"/>
      <c r="HKQ354" s="27"/>
      <c r="HKR354" s="27"/>
      <c r="HKS354" s="27"/>
      <c r="HKT354" s="27"/>
      <c r="HKU354" s="27"/>
      <c r="HKV354" s="27"/>
      <c r="HKW354" s="27"/>
      <c r="HKX354" s="27"/>
      <c r="HKY354" s="27"/>
      <c r="HKZ354" s="27"/>
      <c r="HLA354" s="27"/>
      <c r="HLB354" s="27"/>
      <c r="HLC354" s="27"/>
      <c r="HLD354" s="27"/>
      <c r="HLE354" s="27"/>
      <c r="HLF354" s="27"/>
      <c r="HLG354" s="27"/>
      <c r="HLH354" s="27"/>
      <c r="HLI354" s="27"/>
      <c r="HLJ354" s="27"/>
      <c r="HLK354" s="27"/>
      <c r="HLL354" s="27"/>
      <c r="HLM354" s="27"/>
      <c r="HLN354" s="27"/>
      <c r="HLO354" s="27"/>
      <c r="HLP354" s="27"/>
      <c r="HLQ354" s="27"/>
      <c r="HLR354" s="27"/>
      <c r="HLS354" s="27"/>
      <c r="HLT354" s="27"/>
      <c r="HLU354" s="27"/>
      <c r="HLV354" s="27"/>
      <c r="HLW354" s="27"/>
      <c r="HLX354" s="27"/>
      <c r="HLY354" s="27"/>
      <c r="HLZ354" s="27"/>
      <c r="HMA354" s="27"/>
      <c r="HMB354" s="27"/>
      <c r="HMC354" s="27"/>
      <c r="HMD354" s="27"/>
      <c r="HME354" s="27"/>
      <c r="HMF354" s="27"/>
      <c r="HMG354" s="27"/>
      <c r="HMH354" s="27"/>
      <c r="HMI354" s="27"/>
      <c r="HMJ354" s="27"/>
      <c r="HMK354" s="27"/>
      <c r="HML354" s="27"/>
      <c r="HMM354" s="27"/>
      <c r="HMN354" s="27"/>
      <c r="HMO354" s="27"/>
      <c r="HMP354" s="27"/>
      <c r="HMQ354" s="27"/>
      <c r="HMR354" s="27"/>
      <c r="HMS354" s="27"/>
      <c r="HMT354" s="27"/>
      <c r="HMU354" s="27"/>
      <c r="HMV354" s="27"/>
      <c r="HMW354" s="27"/>
      <c r="HMX354" s="27"/>
      <c r="HMY354" s="27"/>
      <c r="HMZ354" s="27"/>
      <c r="HNA354" s="27"/>
      <c r="HNB354" s="27"/>
      <c r="HNC354" s="27"/>
      <c r="HND354" s="27"/>
      <c r="HNE354" s="27"/>
      <c r="HNF354" s="27"/>
      <c r="HNG354" s="27"/>
      <c r="HNH354" s="27"/>
      <c r="HNI354" s="27"/>
      <c r="HNJ354" s="27"/>
      <c r="HNK354" s="27"/>
      <c r="HNL354" s="27"/>
      <c r="HNM354" s="27"/>
      <c r="HNN354" s="27"/>
      <c r="HNO354" s="27"/>
      <c r="HNP354" s="27"/>
      <c r="HNQ354" s="27"/>
      <c r="HNR354" s="27"/>
      <c r="HNS354" s="27"/>
      <c r="HNT354" s="27"/>
      <c r="HNU354" s="27"/>
      <c r="HNV354" s="27"/>
      <c r="HNW354" s="27"/>
      <c r="HNX354" s="27"/>
      <c r="HNY354" s="27"/>
      <c r="HNZ354" s="27"/>
      <c r="HOA354" s="27"/>
      <c r="HOB354" s="27"/>
      <c r="HOC354" s="27"/>
      <c r="HOD354" s="27"/>
      <c r="HOE354" s="27"/>
      <c r="HOF354" s="27"/>
      <c r="HOG354" s="27"/>
      <c r="HOH354" s="27"/>
      <c r="HOI354" s="27"/>
      <c r="HOJ354" s="27"/>
      <c r="HOK354" s="27"/>
      <c r="HOL354" s="27"/>
      <c r="HOM354" s="27"/>
      <c r="HON354" s="27"/>
      <c r="HOO354" s="27"/>
      <c r="HOP354" s="27"/>
      <c r="HOQ354" s="27"/>
      <c r="HOR354" s="27"/>
      <c r="HOS354" s="27"/>
      <c r="HOT354" s="27"/>
      <c r="HOU354" s="27"/>
      <c r="HOV354" s="27"/>
      <c r="HOW354" s="27"/>
      <c r="HOX354" s="27"/>
      <c r="HOY354" s="27"/>
      <c r="HOZ354" s="27"/>
      <c r="HPA354" s="27"/>
      <c r="HPB354" s="27"/>
      <c r="HPC354" s="27"/>
      <c r="HPD354" s="27"/>
      <c r="HPE354" s="27"/>
      <c r="HPF354" s="27"/>
      <c r="HPG354" s="27"/>
      <c r="HPH354" s="27"/>
      <c r="HPI354" s="27"/>
      <c r="HPJ354" s="27"/>
      <c r="HPK354" s="27"/>
      <c r="HPL354" s="27"/>
      <c r="HPM354" s="27"/>
      <c r="HPN354" s="27"/>
      <c r="HPO354" s="27"/>
      <c r="HPP354" s="27"/>
      <c r="HPQ354" s="27"/>
      <c r="HPR354" s="27"/>
      <c r="HPS354" s="27"/>
      <c r="HPT354" s="27"/>
      <c r="HPU354" s="27"/>
      <c r="HPV354" s="27"/>
      <c r="HPW354" s="27"/>
      <c r="HPX354" s="27"/>
      <c r="HPY354" s="27"/>
      <c r="HPZ354" s="27"/>
      <c r="HQA354" s="27"/>
      <c r="HQB354" s="27"/>
      <c r="HQC354" s="27"/>
      <c r="HQD354" s="27"/>
      <c r="HQE354" s="27"/>
      <c r="HQF354" s="27"/>
      <c r="HQG354" s="27"/>
      <c r="HQH354" s="27"/>
      <c r="HQI354" s="27"/>
      <c r="HQJ354" s="27"/>
      <c r="HQK354" s="27"/>
      <c r="HQL354" s="27"/>
      <c r="HQM354" s="27"/>
      <c r="HQN354" s="27"/>
      <c r="HQO354" s="27"/>
      <c r="HQP354" s="27"/>
      <c r="HQQ354" s="27"/>
      <c r="HQR354" s="27"/>
      <c r="HQS354" s="27"/>
      <c r="HQT354" s="27"/>
      <c r="HQU354" s="27"/>
      <c r="HQV354" s="27"/>
      <c r="HQW354" s="27"/>
      <c r="HQX354" s="27"/>
      <c r="HQY354" s="27"/>
      <c r="HQZ354" s="27"/>
      <c r="HRA354" s="27"/>
      <c r="HRB354" s="27"/>
      <c r="HRC354" s="27"/>
      <c r="HRD354" s="27"/>
      <c r="HRE354" s="27"/>
      <c r="HRF354" s="27"/>
      <c r="HRG354" s="27"/>
      <c r="HRH354" s="27"/>
      <c r="HRI354" s="27"/>
      <c r="HRJ354" s="27"/>
      <c r="HRK354" s="27"/>
      <c r="HRL354" s="27"/>
      <c r="HRM354" s="27"/>
      <c r="HRN354" s="27"/>
      <c r="HRO354" s="27"/>
      <c r="HRP354" s="27"/>
      <c r="HRQ354" s="27"/>
      <c r="HRR354" s="27"/>
      <c r="HRS354" s="27"/>
      <c r="HRT354" s="27"/>
      <c r="HRU354" s="27"/>
      <c r="HRV354" s="27"/>
      <c r="HRW354" s="27"/>
      <c r="HRX354" s="27"/>
      <c r="HRY354" s="27"/>
      <c r="HRZ354" s="27"/>
      <c r="HSA354" s="27"/>
      <c r="HSB354" s="27"/>
      <c r="HSC354" s="27"/>
      <c r="HSD354" s="27"/>
      <c r="HSE354" s="27"/>
      <c r="HSF354" s="27"/>
      <c r="HSG354" s="27"/>
      <c r="HSH354" s="27"/>
      <c r="HSI354" s="27"/>
      <c r="HSJ354" s="27"/>
      <c r="HSK354" s="27"/>
      <c r="HSL354" s="27"/>
      <c r="HSM354" s="27"/>
      <c r="HSN354" s="27"/>
      <c r="HSO354" s="27"/>
      <c r="HSP354" s="27"/>
      <c r="HSQ354" s="27"/>
      <c r="HSR354" s="27"/>
      <c r="HSS354" s="27"/>
      <c r="HST354" s="27"/>
      <c r="HSU354" s="27"/>
      <c r="HSV354" s="27"/>
      <c r="HSW354" s="27"/>
      <c r="HSX354" s="27"/>
      <c r="HSY354" s="27"/>
      <c r="HSZ354" s="27"/>
      <c r="HTA354" s="27"/>
      <c r="HTB354" s="27"/>
      <c r="HTC354" s="27"/>
      <c r="HTD354" s="27"/>
      <c r="HTE354" s="27"/>
      <c r="HTF354" s="27"/>
      <c r="HTG354" s="27"/>
      <c r="HTH354" s="27"/>
      <c r="HTI354" s="27"/>
      <c r="HTJ354" s="27"/>
      <c r="HTK354" s="27"/>
      <c r="HTL354" s="27"/>
      <c r="HTM354" s="27"/>
      <c r="HTN354" s="27"/>
      <c r="HTO354" s="27"/>
      <c r="HTP354" s="27"/>
      <c r="HTQ354" s="27"/>
      <c r="HTR354" s="27"/>
      <c r="HTS354" s="27"/>
      <c r="HTT354" s="27"/>
      <c r="HTU354" s="27"/>
      <c r="HTV354" s="27"/>
      <c r="HTW354" s="27"/>
      <c r="HTX354" s="27"/>
      <c r="HTY354" s="27"/>
      <c r="HTZ354" s="27"/>
      <c r="HUA354" s="27"/>
      <c r="HUB354" s="27"/>
      <c r="HUC354" s="27"/>
      <c r="HUD354" s="27"/>
      <c r="HUE354" s="27"/>
      <c r="HUF354" s="27"/>
      <c r="HUG354" s="27"/>
      <c r="HUH354" s="27"/>
      <c r="HUI354" s="27"/>
      <c r="HUJ354" s="27"/>
      <c r="HUK354" s="27"/>
      <c r="HUL354" s="27"/>
      <c r="HUM354" s="27"/>
      <c r="HUN354" s="27"/>
      <c r="HUO354" s="27"/>
      <c r="HUP354" s="27"/>
      <c r="HUQ354" s="27"/>
      <c r="HUR354" s="27"/>
      <c r="HUS354" s="27"/>
      <c r="HUT354" s="27"/>
      <c r="HUU354" s="27"/>
      <c r="HUV354" s="27"/>
      <c r="HUW354" s="27"/>
      <c r="HUX354" s="27"/>
      <c r="HUY354" s="27"/>
      <c r="HUZ354" s="27"/>
      <c r="HVA354" s="27"/>
      <c r="HVB354" s="27"/>
      <c r="HVC354" s="27"/>
      <c r="HVD354" s="27"/>
      <c r="HVE354" s="27"/>
      <c r="HVF354" s="27"/>
      <c r="HVG354" s="27"/>
      <c r="HVH354" s="27"/>
      <c r="HVI354" s="27"/>
      <c r="HVJ354" s="27"/>
      <c r="HVK354" s="27"/>
      <c r="HVL354" s="27"/>
      <c r="HVM354" s="27"/>
      <c r="HVN354" s="27"/>
      <c r="HVO354" s="27"/>
      <c r="HVP354" s="27"/>
      <c r="HVQ354" s="27"/>
      <c r="HVR354" s="27"/>
      <c r="HVS354" s="27"/>
      <c r="HVT354" s="27"/>
      <c r="HVU354" s="27"/>
      <c r="HVV354" s="27"/>
      <c r="HVW354" s="27"/>
      <c r="HVX354" s="27"/>
      <c r="HVY354" s="27"/>
      <c r="HVZ354" s="27"/>
      <c r="HWA354" s="27"/>
      <c r="HWB354" s="27"/>
      <c r="HWC354" s="27"/>
      <c r="HWD354" s="27"/>
      <c r="HWE354" s="27"/>
      <c r="HWF354" s="27"/>
      <c r="HWG354" s="27"/>
      <c r="HWH354" s="27"/>
      <c r="HWI354" s="27"/>
      <c r="HWJ354" s="27"/>
      <c r="HWK354" s="27"/>
      <c r="HWL354" s="27"/>
      <c r="HWM354" s="27"/>
      <c r="HWN354" s="27"/>
      <c r="HWO354" s="27"/>
      <c r="HWP354" s="27"/>
      <c r="HWQ354" s="27"/>
      <c r="HWR354" s="27"/>
      <c r="HWS354" s="27"/>
      <c r="HWT354" s="27"/>
      <c r="HWU354" s="27"/>
      <c r="HWV354" s="27"/>
      <c r="HWW354" s="27"/>
      <c r="HWX354" s="27"/>
      <c r="HWY354" s="27"/>
      <c r="HWZ354" s="27"/>
      <c r="HXA354" s="27"/>
      <c r="HXB354" s="27"/>
      <c r="HXC354" s="27"/>
      <c r="HXD354" s="27"/>
      <c r="HXE354" s="27"/>
      <c r="HXF354" s="27"/>
      <c r="HXG354" s="27"/>
      <c r="HXH354" s="27"/>
      <c r="HXI354" s="27"/>
      <c r="HXJ354" s="27"/>
      <c r="HXK354" s="27"/>
      <c r="HXL354" s="27"/>
      <c r="HXM354" s="27"/>
      <c r="HXN354" s="27"/>
      <c r="HXO354" s="27"/>
      <c r="HXP354" s="27"/>
      <c r="HXQ354" s="27"/>
      <c r="HXR354" s="27"/>
      <c r="HXS354" s="27"/>
      <c r="HXT354" s="27"/>
      <c r="HXU354" s="27"/>
      <c r="HXV354" s="27"/>
      <c r="HXW354" s="27"/>
      <c r="HXX354" s="27"/>
      <c r="HXY354" s="27"/>
      <c r="HXZ354" s="27"/>
      <c r="HYA354" s="27"/>
      <c r="HYB354" s="27"/>
      <c r="HYC354" s="27"/>
      <c r="HYD354" s="27"/>
      <c r="HYE354" s="27"/>
      <c r="HYF354" s="27"/>
      <c r="HYG354" s="27"/>
      <c r="HYH354" s="27"/>
      <c r="HYI354" s="27"/>
      <c r="HYJ354" s="27"/>
      <c r="HYK354" s="27"/>
      <c r="HYL354" s="27"/>
      <c r="HYM354" s="27"/>
      <c r="HYN354" s="27"/>
      <c r="HYO354" s="27"/>
      <c r="HYP354" s="27"/>
      <c r="HYQ354" s="27"/>
      <c r="HYR354" s="27"/>
      <c r="HYS354" s="27"/>
      <c r="HYT354" s="27"/>
      <c r="HYU354" s="27"/>
      <c r="HYV354" s="27"/>
      <c r="HYW354" s="27"/>
      <c r="HYX354" s="27"/>
      <c r="HYY354" s="27"/>
      <c r="HYZ354" s="27"/>
      <c r="HZA354" s="27"/>
      <c r="HZB354" s="27"/>
      <c r="HZC354" s="27"/>
      <c r="HZD354" s="27"/>
      <c r="HZE354" s="27"/>
      <c r="HZF354" s="27"/>
      <c r="HZG354" s="27"/>
      <c r="HZH354" s="27"/>
      <c r="HZI354" s="27"/>
      <c r="HZJ354" s="27"/>
      <c r="HZK354" s="27"/>
      <c r="HZL354" s="27"/>
      <c r="HZM354" s="27"/>
      <c r="HZN354" s="27"/>
      <c r="HZO354" s="27"/>
      <c r="HZP354" s="27"/>
      <c r="HZQ354" s="27"/>
      <c r="HZR354" s="27"/>
      <c r="HZS354" s="27"/>
      <c r="HZT354" s="27"/>
      <c r="HZU354" s="27"/>
      <c r="HZV354" s="27"/>
      <c r="HZW354" s="27"/>
      <c r="HZX354" s="27"/>
      <c r="HZY354" s="27"/>
      <c r="HZZ354" s="27"/>
      <c r="IAA354" s="27"/>
      <c r="IAB354" s="27"/>
      <c r="IAC354" s="27"/>
      <c r="IAD354" s="27"/>
      <c r="IAE354" s="27"/>
      <c r="IAF354" s="27"/>
      <c r="IAG354" s="27"/>
      <c r="IAH354" s="27"/>
      <c r="IAI354" s="27"/>
      <c r="IAJ354" s="27"/>
      <c r="IAK354" s="27"/>
      <c r="IAL354" s="27"/>
      <c r="IAM354" s="27"/>
      <c r="IAN354" s="27"/>
      <c r="IAO354" s="27"/>
      <c r="IAP354" s="27"/>
      <c r="IAQ354" s="27"/>
      <c r="IAR354" s="27"/>
      <c r="IAS354" s="27"/>
      <c r="IAT354" s="27"/>
      <c r="IAU354" s="27"/>
      <c r="IAV354" s="27"/>
      <c r="IAW354" s="27"/>
      <c r="IAX354" s="27"/>
      <c r="IAY354" s="27"/>
      <c r="IAZ354" s="27"/>
      <c r="IBA354" s="27"/>
      <c r="IBB354" s="27"/>
      <c r="IBC354" s="27"/>
      <c r="IBD354" s="27"/>
      <c r="IBE354" s="27"/>
      <c r="IBF354" s="27"/>
      <c r="IBG354" s="27"/>
      <c r="IBH354" s="27"/>
      <c r="IBI354" s="27"/>
      <c r="IBJ354" s="27"/>
      <c r="IBK354" s="27"/>
      <c r="IBL354" s="27"/>
      <c r="IBM354" s="27"/>
      <c r="IBN354" s="27"/>
      <c r="IBO354" s="27"/>
      <c r="IBP354" s="27"/>
      <c r="IBQ354" s="27"/>
      <c r="IBR354" s="27"/>
      <c r="IBS354" s="27"/>
      <c r="IBT354" s="27"/>
      <c r="IBU354" s="27"/>
      <c r="IBV354" s="27"/>
      <c r="IBW354" s="27"/>
      <c r="IBX354" s="27"/>
      <c r="IBY354" s="27"/>
      <c r="IBZ354" s="27"/>
      <c r="ICA354" s="27"/>
      <c r="ICB354" s="27"/>
      <c r="ICC354" s="27"/>
      <c r="ICD354" s="27"/>
      <c r="ICE354" s="27"/>
      <c r="ICF354" s="27"/>
      <c r="ICG354" s="27"/>
      <c r="ICH354" s="27"/>
      <c r="ICI354" s="27"/>
      <c r="ICJ354" s="27"/>
      <c r="ICK354" s="27"/>
      <c r="ICL354" s="27"/>
      <c r="ICM354" s="27"/>
      <c r="ICN354" s="27"/>
      <c r="ICO354" s="27"/>
      <c r="ICP354" s="27"/>
      <c r="ICQ354" s="27"/>
      <c r="ICR354" s="27"/>
      <c r="ICS354" s="27"/>
      <c r="ICT354" s="27"/>
      <c r="ICU354" s="27"/>
      <c r="ICV354" s="27"/>
      <c r="ICW354" s="27"/>
      <c r="ICX354" s="27"/>
      <c r="ICY354" s="27"/>
      <c r="ICZ354" s="27"/>
      <c r="IDA354" s="27"/>
      <c r="IDB354" s="27"/>
      <c r="IDC354" s="27"/>
      <c r="IDD354" s="27"/>
      <c r="IDE354" s="27"/>
      <c r="IDF354" s="27"/>
      <c r="IDG354" s="27"/>
      <c r="IDH354" s="27"/>
      <c r="IDI354" s="27"/>
      <c r="IDJ354" s="27"/>
      <c r="IDK354" s="27"/>
      <c r="IDL354" s="27"/>
      <c r="IDM354" s="27"/>
      <c r="IDN354" s="27"/>
      <c r="IDO354" s="27"/>
      <c r="IDP354" s="27"/>
      <c r="IDQ354" s="27"/>
      <c r="IDR354" s="27"/>
      <c r="IDS354" s="27"/>
      <c r="IDT354" s="27"/>
      <c r="IDU354" s="27"/>
      <c r="IDV354" s="27"/>
      <c r="IDW354" s="27"/>
      <c r="IDX354" s="27"/>
      <c r="IDY354" s="27"/>
      <c r="IDZ354" s="27"/>
      <c r="IEA354" s="27"/>
      <c r="IEB354" s="27"/>
      <c r="IEC354" s="27"/>
      <c r="IED354" s="27"/>
      <c r="IEE354" s="27"/>
      <c r="IEF354" s="27"/>
      <c r="IEG354" s="27"/>
      <c r="IEH354" s="27"/>
      <c r="IEI354" s="27"/>
      <c r="IEJ354" s="27"/>
      <c r="IEK354" s="27"/>
      <c r="IEL354" s="27"/>
      <c r="IEM354" s="27"/>
      <c r="IEN354" s="27"/>
      <c r="IEO354" s="27"/>
      <c r="IEP354" s="27"/>
      <c r="IEQ354" s="27"/>
      <c r="IER354" s="27"/>
      <c r="IES354" s="27"/>
      <c r="IET354" s="27"/>
      <c r="IEU354" s="27"/>
      <c r="IEV354" s="27"/>
      <c r="IEW354" s="27"/>
      <c r="IEX354" s="27"/>
      <c r="IEY354" s="27"/>
      <c r="IEZ354" s="27"/>
      <c r="IFA354" s="27"/>
      <c r="IFB354" s="27"/>
      <c r="IFC354" s="27"/>
      <c r="IFD354" s="27"/>
      <c r="IFE354" s="27"/>
      <c r="IFF354" s="27"/>
      <c r="IFG354" s="27"/>
      <c r="IFH354" s="27"/>
      <c r="IFI354" s="27"/>
      <c r="IFJ354" s="27"/>
      <c r="IFK354" s="27"/>
      <c r="IFL354" s="27"/>
      <c r="IFM354" s="27"/>
      <c r="IFN354" s="27"/>
      <c r="IFO354" s="27"/>
      <c r="IFP354" s="27"/>
      <c r="IFQ354" s="27"/>
      <c r="IFR354" s="27"/>
      <c r="IFS354" s="27"/>
      <c r="IFT354" s="27"/>
      <c r="IFU354" s="27"/>
      <c r="IFV354" s="27"/>
      <c r="IFW354" s="27"/>
      <c r="IFX354" s="27"/>
      <c r="IFY354" s="27"/>
      <c r="IFZ354" s="27"/>
      <c r="IGA354" s="27"/>
      <c r="IGB354" s="27"/>
      <c r="IGC354" s="27"/>
      <c r="IGD354" s="27"/>
      <c r="IGE354" s="27"/>
      <c r="IGF354" s="27"/>
      <c r="IGG354" s="27"/>
      <c r="IGH354" s="27"/>
      <c r="IGI354" s="27"/>
      <c r="IGJ354" s="27"/>
      <c r="IGK354" s="27"/>
      <c r="IGL354" s="27"/>
      <c r="IGM354" s="27"/>
      <c r="IGN354" s="27"/>
      <c r="IGO354" s="27"/>
      <c r="IGP354" s="27"/>
      <c r="IGQ354" s="27"/>
      <c r="IGR354" s="27"/>
      <c r="IGS354" s="27"/>
      <c r="IGT354" s="27"/>
      <c r="IGU354" s="27"/>
      <c r="IGV354" s="27"/>
      <c r="IGW354" s="27"/>
      <c r="IGX354" s="27"/>
      <c r="IGY354" s="27"/>
      <c r="IGZ354" s="27"/>
      <c r="IHA354" s="27"/>
      <c r="IHB354" s="27"/>
      <c r="IHC354" s="27"/>
      <c r="IHD354" s="27"/>
      <c r="IHE354" s="27"/>
      <c r="IHF354" s="27"/>
      <c r="IHG354" s="27"/>
      <c r="IHH354" s="27"/>
      <c r="IHI354" s="27"/>
      <c r="IHJ354" s="27"/>
      <c r="IHK354" s="27"/>
      <c r="IHL354" s="27"/>
      <c r="IHM354" s="27"/>
      <c r="IHN354" s="27"/>
      <c r="IHO354" s="27"/>
      <c r="IHP354" s="27"/>
      <c r="IHQ354" s="27"/>
      <c r="IHR354" s="27"/>
      <c r="IHS354" s="27"/>
      <c r="IHT354" s="27"/>
      <c r="IHU354" s="27"/>
      <c r="IHV354" s="27"/>
      <c r="IHW354" s="27"/>
      <c r="IHX354" s="27"/>
      <c r="IHY354" s="27"/>
      <c r="IHZ354" s="27"/>
      <c r="IIA354" s="27"/>
      <c r="IIB354" s="27"/>
      <c r="IIC354" s="27"/>
      <c r="IID354" s="27"/>
      <c r="IIE354" s="27"/>
      <c r="IIF354" s="27"/>
      <c r="IIG354" s="27"/>
      <c r="IIH354" s="27"/>
      <c r="III354" s="27"/>
      <c r="IIJ354" s="27"/>
      <c r="IIK354" s="27"/>
      <c r="IIL354" s="27"/>
      <c r="IIM354" s="27"/>
      <c r="IIN354" s="27"/>
      <c r="IIO354" s="27"/>
      <c r="IIP354" s="27"/>
      <c r="IIQ354" s="27"/>
      <c r="IIR354" s="27"/>
      <c r="IIS354" s="27"/>
      <c r="IIT354" s="27"/>
      <c r="IIU354" s="27"/>
      <c r="IIV354" s="27"/>
      <c r="IIW354" s="27"/>
      <c r="IIX354" s="27"/>
      <c r="IIY354" s="27"/>
      <c r="IIZ354" s="27"/>
      <c r="IJA354" s="27"/>
      <c r="IJB354" s="27"/>
      <c r="IJC354" s="27"/>
      <c r="IJD354" s="27"/>
      <c r="IJE354" s="27"/>
      <c r="IJF354" s="27"/>
      <c r="IJG354" s="27"/>
      <c r="IJH354" s="27"/>
      <c r="IJI354" s="27"/>
      <c r="IJJ354" s="27"/>
      <c r="IJK354" s="27"/>
      <c r="IJL354" s="27"/>
      <c r="IJM354" s="27"/>
      <c r="IJN354" s="27"/>
      <c r="IJO354" s="27"/>
      <c r="IJP354" s="27"/>
      <c r="IJQ354" s="27"/>
      <c r="IJR354" s="27"/>
      <c r="IJS354" s="27"/>
      <c r="IJT354" s="27"/>
      <c r="IJU354" s="27"/>
      <c r="IJV354" s="27"/>
      <c r="IJW354" s="27"/>
      <c r="IJX354" s="27"/>
      <c r="IJY354" s="27"/>
      <c r="IJZ354" s="27"/>
      <c r="IKA354" s="27"/>
      <c r="IKB354" s="27"/>
      <c r="IKC354" s="27"/>
      <c r="IKD354" s="27"/>
      <c r="IKE354" s="27"/>
      <c r="IKF354" s="27"/>
      <c r="IKG354" s="27"/>
      <c r="IKH354" s="27"/>
      <c r="IKI354" s="27"/>
      <c r="IKJ354" s="27"/>
      <c r="IKK354" s="27"/>
      <c r="IKL354" s="27"/>
      <c r="IKM354" s="27"/>
      <c r="IKN354" s="27"/>
      <c r="IKO354" s="27"/>
      <c r="IKP354" s="27"/>
      <c r="IKQ354" s="27"/>
      <c r="IKR354" s="27"/>
      <c r="IKS354" s="27"/>
      <c r="IKT354" s="27"/>
      <c r="IKU354" s="27"/>
      <c r="IKV354" s="27"/>
      <c r="IKW354" s="27"/>
      <c r="IKX354" s="27"/>
      <c r="IKY354" s="27"/>
      <c r="IKZ354" s="27"/>
      <c r="ILA354" s="27"/>
      <c r="ILB354" s="27"/>
      <c r="ILC354" s="27"/>
      <c r="ILD354" s="27"/>
      <c r="ILE354" s="27"/>
      <c r="ILF354" s="27"/>
      <c r="ILG354" s="27"/>
      <c r="ILH354" s="27"/>
      <c r="ILI354" s="27"/>
      <c r="ILJ354" s="27"/>
      <c r="ILK354" s="27"/>
      <c r="ILL354" s="27"/>
      <c r="ILM354" s="27"/>
      <c r="ILN354" s="27"/>
      <c r="ILO354" s="27"/>
      <c r="ILP354" s="27"/>
      <c r="ILQ354" s="27"/>
      <c r="ILR354" s="27"/>
      <c r="ILS354" s="27"/>
      <c r="ILT354" s="27"/>
      <c r="ILU354" s="27"/>
      <c r="ILV354" s="27"/>
      <c r="ILW354" s="27"/>
      <c r="ILX354" s="27"/>
      <c r="ILY354" s="27"/>
      <c r="ILZ354" s="27"/>
      <c r="IMA354" s="27"/>
      <c r="IMB354" s="27"/>
      <c r="IMC354" s="27"/>
      <c r="IMD354" s="27"/>
      <c r="IME354" s="27"/>
      <c r="IMF354" s="27"/>
      <c r="IMG354" s="27"/>
      <c r="IMH354" s="27"/>
      <c r="IMI354" s="27"/>
      <c r="IMJ354" s="27"/>
      <c r="IMK354" s="27"/>
      <c r="IML354" s="27"/>
      <c r="IMM354" s="27"/>
      <c r="IMN354" s="27"/>
      <c r="IMO354" s="27"/>
      <c r="IMP354" s="27"/>
      <c r="IMQ354" s="27"/>
      <c r="IMR354" s="27"/>
      <c r="IMS354" s="27"/>
      <c r="IMT354" s="27"/>
      <c r="IMU354" s="27"/>
      <c r="IMV354" s="27"/>
      <c r="IMW354" s="27"/>
      <c r="IMX354" s="27"/>
      <c r="IMY354" s="27"/>
      <c r="IMZ354" s="27"/>
      <c r="INA354" s="27"/>
      <c r="INB354" s="27"/>
      <c r="INC354" s="27"/>
      <c r="IND354" s="27"/>
      <c r="INE354" s="27"/>
      <c r="INF354" s="27"/>
      <c r="ING354" s="27"/>
      <c r="INH354" s="27"/>
      <c r="INI354" s="27"/>
      <c r="INJ354" s="27"/>
      <c r="INK354" s="27"/>
      <c r="INL354" s="27"/>
      <c r="INM354" s="27"/>
      <c r="INN354" s="27"/>
      <c r="INO354" s="27"/>
      <c r="INP354" s="27"/>
      <c r="INQ354" s="27"/>
      <c r="INR354" s="27"/>
      <c r="INS354" s="27"/>
      <c r="INT354" s="27"/>
      <c r="INU354" s="27"/>
      <c r="INV354" s="27"/>
      <c r="INW354" s="27"/>
      <c r="INX354" s="27"/>
      <c r="INY354" s="27"/>
      <c r="INZ354" s="27"/>
      <c r="IOA354" s="27"/>
      <c r="IOB354" s="27"/>
      <c r="IOC354" s="27"/>
      <c r="IOD354" s="27"/>
      <c r="IOE354" s="27"/>
      <c r="IOF354" s="27"/>
      <c r="IOG354" s="27"/>
      <c r="IOH354" s="27"/>
      <c r="IOI354" s="27"/>
      <c r="IOJ354" s="27"/>
      <c r="IOK354" s="27"/>
      <c r="IOL354" s="27"/>
      <c r="IOM354" s="27"/>
      <c r="ION354" s="27"/>
      <c r="IOO354" s="27"/>
      <c r="IOP354" s="27"/>
      <c r="IOQ354" s="27"/>
      <c r="IOR354" s="27"/>
      <c r="IOS354" s="27"/>
      <c r="IOT354" s="27"/>
      <c r="IOU354" s="27"/>
      <c r="IOV354" s="27"/>
      <c r="IOW354" s="27"/>
      <c r="IOX354" s="27"/>
      <c r="IOY354" s="27"/>
      <c r="IOZ354" s="27"/>
      <c r="IPA354" s="27"/>
      <c r="IPB354" s="27"/>
      <c r="IPC354" s="27"/>
      <c r="IPD354" s="27"/>
      <c r="IPE354" s="27"/>
      <c r="IPF354" s="27"/>
      <c r="IPG354" s="27"/>
      <c r="IPH354" s="27"/>
      <c r="IPI354" s="27"/>
      <c r="IPJ354" s="27"/>
      <c r="IPK354" s="27"/>
      <c r="IPL354" s="27"/>
      <c r="IPM354" s="27"/>
      <c r="IPN354" s="27"/>
      <c r="IPO354" s="27"/>
      <c r="IPP354" s="27"/>
      <c r="IPQ354" s="27"/>
      <c r="IPR354" s="27"/>
      <c r="IPS354" s="27"/>
      <c r="IPT354" s="27"/>
      <c r="IPU354" s="27"/>
      <c r="IPV354" s="27"/>
      <c r="IPW354" s="27"/>
      <c r="IPX354" s="27"/>
      <c r="IPY354" s="27"/>
      <c r="IPZ354" s="27"/>
      <c r="IQA354" s="27"/>
      <c r="IQB354" s="27"/>
      <c r="IQC354" s="27"/>
      <c r="IQD354" s="27"/>
      <c r="IQE354" s="27"/>
      <c r="IQF354" s="27"/>
      <c r="IQG354" s="27"/>
      <c r="IQH354" s="27"/>
      <c r="IQI354" s="27"/>
      <c r="IQJ354" s="27"/>
      <c r="IQK354" s="27"/>
      <c r="IQL354" s="27"/>
      <c r="IQM354" s="27"/>
      <c r="IQN354" s="27"/>
      <c r="IQO354" s="27"/>
      <c r="IQP354" s="27"/>
      <c r="IQQ354" s="27"/>
      <c r="IQR354" s="27"/>
      <c r="IQS354" s="27"/>
      <c r="IQT354" s="27"/>
      <c r="IQU354" s="27"/>
      <c r="IQV354" s="27"/>
      <c r="IQW354" s="27"/>
      <c r="IQX354" s="27"/>
      <c r="IQY354" s="27"/>
      <c r="IQZ354" s="27"/>
      <c r="IRA354" s="27"/>
      <c r="IRB354" s="27"/>
      <c r="IRC354" s="27"/>
      <c r="IRD354" s="27"/>
      <c r="IRE354" s="27"/>
      <c r="IRF354" s="27"/>
      <c r="IRG354" s="27"/>
      <c r="IRH354" s="27"/>
      <c r="IRI354" s="27"/>
      <c r="IRJ354" s="27"/>
      <c r="IRK354" s="27"/>
      <c r="IRL354" s="27"/>
      <c r="IRM354" s="27"/>
      <c r="IRN354" s="27"/>
      <c r="IRO354" s="27"/>
      <c r="IRP354" s="27"/>
      <c r="IRQ354" s="27"/>
      <c r="IRR354" s="27"/>
      <c r="IRS354" s="27"/>
      <c r="IRT354" s="27"/>
      <c r="IRU354" s="27"/>
      <c r="IRV354" s="27"/>
      <c r="IRW354" s="27"/>
      <c r="IRX354" s="27"/>
      <c r="IRY354" s="27"/>
      <c r="IRZ354" s="27"/>
      <c r="ISA354" s="27"/>
      <c r="ISB354" s="27"/>
      <c r="ISC354" s="27"/>
      <c r="ISD354" s="27"/>
      <c r="ISE354" s="27"/>
      <c r="ISF354" s="27"/>
      <c r="ISG354" s="27"/>
      <c r="ISH354" s="27"/>
      <c r="ISI354" s="27"/>
      <c r="ISJ354" s="27"/>
      <c r="ISK354" s="27"/>
      <c r="ISL354" s="27"/>
      <c r="ISM354" s="27"/>
      <c r="ISN354" s="27"/>
      <c r="ISO354" s="27"/>
      <c r="ISP354" s="27"/>
      <c r="ISQ354" s="27"/>
      <c r="ISR354" s="27"/>
      <c r="ISS354" s="27"/>
      <c r="IST354" s="27"/>
      <c r="ISU354" s="27"/>
      <c r="ISV354" s="27"/>
      <c r="ISW354" s="27"/>
      <c r="ISX354" s="27"/>
      <c r="ISY354" s="27"/>
      <c r="ISZ354" s="27"/>
      <c r="ITA354" s="27"/>
      <c r="ITB354" s="27"/>
      <c r="ITC354" s="27"/>
      <c r="ITD354" s="27"/>
      <c r="ITE354" s="27"/>
      <c r="ITF354" s="27"/>
      <c r="ITG354" s="27"/>
      <c r="ITH354" s="27"/>
      <c r="ITI354" s="27"/>
      <c r="ITJ354" s="27"/>
      <c r="ITK354" s="27"/>
      <c r="ITL354" s="27"/>
      <c r="ITM354" s="27"/>
      <c r="ITN354" s="27"/>
      <c r="ITO354" s="27"/>
      <c r="ITP354" s="27"/>
      <c r="ITQ354" s="27"/>
      <c r="ITR354" s="27"/>
      <c r="ITS354" s="27"/>
      <c r="ITT354" s="27"/>
      <c r="ITU354" s="27"/>
      <c r="ITV354" s="27"/>
      <c r="ITW354" s="27"/>
      <c r="ITX354" s="27"/>
      <c r="ITY354" s="27"/>
      <c r="ITZ354" s="27"/>
      <c r="IUA354" s="27"/>
      <c r="IUB354" s="27"/>
      <c r="IUC354" s="27"/>
      <c r="IUD354" s="27"/>
      <c r="IUE354" s="27"/>
      <c r="IUF354" s="27"/>
      <c r="IUG354" s="27"/>
      <c r="IUH354" s="27"/>
      <c r="IUI354" s="27"/>
      <c r="IUJ354" s="27"/>
      <c r="IUK354" s="27"/>
      <c r="IUL354" s="27"/>
      <c r="IUM354" s="27"/>
      <c r="IUN354" s="27"/>
      <c r="IUO354" s="27"/>
      <c r="IUP354" s="27"/>
      <c r="IUQ354" s="27"/>
      <c r="IUR354" s="27"/>
      <c r="IUS354" s="27"/>
      <c r="IUT354" s="27"/>
      <c r="IUU354" s="27"/>
      <c r="IUV354" s="27"/>
      <c r="IUW354" s="27"/>
      <c r="IUX354" s="27"/>
      <c r="IUY354" s="27"/>
      <c r="IUZ354" s="27"/>
      <c r="IVA354" s="27"/>
      <c r="IVB354" s="27"/>
      <c r="IVC354" s="27"/>
      <c r="IVD354" s="27"/>
      <c r="IVE354" s="27"/>
      <c r="IVF354" s="27"/>
      <c r="IVG354" s="27"/>
      <c r="IVH354" s="27"/>
      <c r="IVI354" s="27"/>
      <c r="IVJ354" s="27"/>
      <c r="IVK354" s="27"/>
      <c r="IVL354" s="27"/>
      <c r="IVM354" s="27"/>
      <c r="IVN354" s="27"/>
      <c r="IVO354" s="27"/>
      <c r="IVP354" s="27"/>
      <c r="IVQ354" s="27"/>
      <c r="IVR354" s="27"/>
      <c r="IVS354" s="27"/>
      <c r="IVT354" s="27"/>
      <c r="IVU354" s="27"/>
      <c r="IVV354" s="27"/>
      <c r="IVW354" s="27"/>
      <c r="IVX354" s="27"/>
      <c r="IVY354" s="27"/>
      <c r="IVZ354" s="27"/>
      <c r="IWA354" s="27"/>
      <c r="IWB354" s="27"/>
      <c r="IWC354" s="27"/>
      <c r="IWD354" s="27"/>
      <c r="IWE354" s="27"/>
      <c r="IWF354" s="27"/>
      <c r="IWG354" s="27"/>
      <c r="IWH354" s="27"/>
      <c r="IWI354" s="27"/>
      <c r="IWJ354" s="27"/>
      <c r="IWK354" s="27"/>
      <c r="IWL354" s="27"/>
      <c r="IWM354" s="27"/>
      <c r="IWN354" s="27"/>
      <c r="IWO354" s="27"/>
      <c r="IWP354" s="27"/>
      <c r="IWQ354" s="27"/>
      <c r="IWR354" s="27"/>
      <c r="IWS354" s="27"/>
      <c r="IWT354" s="27"/>
      <c r="IWU354" s="27"/>
      <c r="IWV354" s="27"/>
      <c r="IWW354" s="27"/>
      <c r="IWX354" s="27"/>
      <c r="IWY354" s="27"/>
      <c r="IWZ354" s="27"/>
      <c r="IXA354" s="27"/>
      <c r="IXB354" s="27"/>
      <c r="IXC354" s="27"/>
      <c r="IXD354" s="27"/>
      <c r="IXE354" s="27"/>
      <c r="IXF354" s="27"/>
      <c r="IXG354" s="27"/>
      <c r="IXH354" s="27"/>
      <c r="IXI354" s="27"/>
      <c r="IXJ354" s="27"/>
      <c r="IXK354" s="27"/>
      <c r="IXL354" s="27"/>
      <c r="IXM354" s="27"/>
      <c r="IXN354" s="27"/>
      <c r="IXO354" s="27"/>
      <c r="IXP354" s="27"/>
      <c r="IXQ354" s="27"/>
      <c r="IXR354" s="27"/>
      <c r="IXS354" s="27"/>
      <c r="IXT354" s="27"/>
      <c r="IXU354" s="27"/>
      <c r="IXV354" s="27"/>
      <c r="IXW354" s="27"/>
      <c r="IXX354" s="27"/>
      <c r="IXY354" s="27"/>
      <c r="IXZ354" s="27"/>
      <c r="IYA354" s="27"/>
      <c r="IYB354" s="27"/>
      <c r="IYC354" s="27"/>
      <c r="IYD354" s="27"/>
      <c r="IYE354" s="27"/>
      <c r="IYF354" s="27"/>
      <c r="IYG354" s="27"/>
      <c r="IYH354" s="27"/>
      <c r="IYI354" s="27"/>
      <c r="IYJ354" s="27"/>
      <c r="IYK354" s="27"/>
      <c r="IYL354" s="27"/>
      <c r="IYM354" s="27"/>
      <c r="IYN354" s="27"/>
      <c r="IYO354" s="27"/>
      <c r="IYP354" s="27"/>
      <c r="IYQ354" s="27"/>
      <c r="IYR354" s="27"/>
      <c r="IYS354" s="27"/>
      <c r="IYT354" s="27"/>
      <c r="IYU354" s="27"/>
      <c r="IYV354" s="27"/>
      <c r="IYW354" s="27"/>
      <c r="IYX354" s="27"/>
      <c r="IYY354" s="27"/>
      <c r="IYZ354" s="27"/>
      <c r="IZA354" s="27"/>
      <c r="IZB354" s="27"/>
      <c r="IZC354" s="27"/>
      <c r="IZD354" s="27"/>
      <c r="IZE354" s="27"/>
      <c r="IZF354" s="27"/>
      <c r="IZG354" s="27"/>
      <c r="IZH354" s="27"/>
      <c r="IZI354" s="27"/>
      <c r="IZJ354" s="27"/>
      <c r="IZK354" s="27"/>
      <c r="IZL354" s="27"/>
      <c r="IZM354" s="27"/>
      <c r="IZN354" s="27"/>
      <c r="IZO354" s="27"/>
      <c r="IZP354" s="27"/>
      <c r="IZQ354" s="27"/>
      <c r="IZR354" s="27"/>
      <c r="IZS354" s="27"/>
      <c r="IZT354" s="27"/>
      <c r="IZU354" s="27"/>
      <c r="IZV354" s="27"/>
      <c r="IZW354" s="27"/>
      <c r="IZX354" s="27"/>
      <c r="IZY354" s="27"/>
      <c r="IZZ354" s="27"/>
      <c r="JAA354" s="27"/>
      <c r="JAB354" s="27"/>
      <c r="JAC354" s="27"/>
      <c r="JAD354" s="27"/>
      <c r="JAE354" s="27"/>
      <c r="JAF354" s="27"/>
      <c r="JAG354" s="27"/>
      <c r="JAH354" s="27"/>
      <c r="JAI354" s="27"/>
      <c r="JAJ354" s="27"/>
      <c r="JAK354" s="27"/>
      <c r="JAL354" s="27"/>
      <c r="JAM354" s="27"/>
      <c r="JAN354" s="27"/>
      <c r="JAO354" s="27"/>
      <c r="JAP354" s="27"/>
      <c r="JAQ354" s="27"/>
      <c r="JAR354" s="27"/>
      <c r="JAS354" s="27"/>
      <c r="JAT354" s="27"/>
      <c r="JAU354" s="27"/>
      <c r="JAV354" s="27"/>
      <c r="JAW354" s="27"/>
      <c r="JAX354" s="27"/>
      <c r="JAY354" s="27"/>
      <c r="JAZ354" s="27"/>
      <c r="JBA354" s="27"/>
      <c r="JBB354" s="27"/>
      <c r="JBC354" s="27"/>
      <c r="JBD354" s="27"/>
      <c r="JBE354" s="27"/>
      <c r="JBF354" s="27"/>
      <c r="JBG354" s="27"/>
      <c r="JBH354" s="27"/>
      <c r="JBI354" s="27"/>
      <c r="JBJ354" s="27"/>
      <c r="JBK354" s="27"/>
      <c r="JBL354" s="27"/>
      <c r="JBM354" s="27"/>
      <c r="JBN354" s="27"/>
      <c r="JBO354" s="27"/>
      <c r="JBP354" s="27"/>
      <c r="JBQ354" s="27"/>
      <c r="JBR354" s="27"/>
      <c r="JBS354" s="27"/>
      <c r="JBT354" s="27"/>
      <c r="JBU354" s="27"/>
      <c r="JBV354" s="27"/>
      <c r="JBW354" s="27"/>
      <c r="JBX354" s="27"/>
      <c r="JBY354" s="27"/>
      <c r="JBZ354" s="27"/>
      <c r="JCA354" s="27"/>
      <c r="JCB354" s="27"/>
      <c r="JCC354" s="27"/>
      <c r="JCD354" s="27"/>
      <c r="JCE354" s="27"/>
      <c r="JCF354" s="27"/>
      <c r="JCG354" s="27"/>
      <c r="JCH354" s="27"/>
      <c r="JCI354" s="27"/>
      <c r="JCJ354" s="27"/>
      <c r="JCK354" s="27"/>
      <c r="JCL354" s="27"/>
      <c r="JCM354" s="27"/>
      <c r="JCN354" s="27"/>
      <c r="JCO354" s="27"/>
      <c r="JCP354" s="27"/>
      <c r="JCQ354" s="27"/>
      <c r="JCR354" s="27"/>
      <c r="JCS354" s="27"/>
      <c r="JCT354" s="27"/>
      <c r="JCU354" s="27"/>
      <c r="JCV354" s="27"/>
      <c r="JCW354" s="27"/>
      <c r="JCX354" s="27"/>
      <c r="JCY354" s="27"/>
      <c r="JCZ354" s="27"/>
      <c r="JDA354" s="27"/>
      <c r="JDB354" s="27"/>
      <c r="JDC354" s="27"/>
      <c r="JDD354" s="27"/>
      <c r="JDE354" s="27"/>
      <c r="JDF354" s="27"/>
      <c r="JDG354" s="27"/>
      <c r="JDH354" s="27"/>
      <c r="JDI354" s="27"/>
      <c r="JDJ354" s="27"/>
      <c r="JDK354" s="27"/>
      <c r="JDL354" s="27"/>
      <c r="JDM354" s="27"/>
      <c r="JDN354" s="27"/>
      <c r="JDO354" s="27"/>
      <c r="JDP354" s="27"/>
      <c r="JDQ354" s="27"/>
      <c r="JDR354" s="27"/>
      <c r="JDS354" s="27"/>
      <c r="JDT354" s="27"/>
      <c r="JDU354" s="27"/>
      <c r="JDV354" s="27"/>
      <c r="JDW354" s="27"/>
      <c r="JDX354" s="27"/>
      <c r="JDY354" s="27"/>
      <c r="JDZ354" s="27"/>
      <c r="JEA354" s="27"/>
      <c r="JEB354" s="27"/>
      <c r="JEC354" s="27"/>
      <c r="JED354" s="27"/>
      <c r="JEE354" s="27"/>
      <c r="JEF354" s="27"/>
      <c r="JEG354" s="27"/>
      <c r="JEH354" s="27"/>
      <c r="JEI354" s="27"/>
      <c r="JEJ354" s="27"/>
      <c r="JEK354" s="27"/>
      <c r="JEL354" s="27"/>
      <c r="JEM354" s="27"/>
      <c r="JEN354" s="27"/>
      <c r="JEO354" s="27"/>
      <c r="JEP354" s="27"/>
      <c r="JEQ354" s="27"/>
      <c r="JER354" s="27"/>
      <c r="JES354" s="27"/>
      <c r="JET354" s="27"/>
      <c r="JEU354" s="27"/>
      <c r="JEV354" s="27"/>
      <c r="JEW354" s="27"/>
      <c r="JEX354" s="27"/>
      <c r="JEY354" s="27"/>
      <c r="JEZ354" s="27"/>
      <c r="JFA354" s="27"/>
      <c r="JFB354" s="27"/>
      <c r="JFC354" s="27"/>
      <c r="JFD354" s="27"/>
      <c r="JFE354" s="27"/>
      <c r="JFF354" s="27"/>
      <c r="JFG354" s="27"/>
      <c r="JFH354" s="27"/>
      <c r="JFI354" s="27"/>
      <c r="JFJ354" s="27"/>
      <c r="JFK354" s="27"/>
      <c r="JFL354" s="27"/>
      <c r="JFM354" s="27"/>
      <c r="JFN354" s="27"/>
      <c r="JFO354" s="27"/>
      <c r="JFP354" s="27"/>
      <c r="JFQ354" s="27"/>
      <c r="JFR354" s="27"/>
      <c r="JFS354" s="27"/>
      <c r="JFT354" s="27"/>
      <c r="JFU354" s="27"/>
      <c r="JFV354" s="27"/>
      <c r="JFW354" s="27"/>
      <c r="JFX354" s="27"/>
      <c r="JFY354" s="27"/>
      <c r="JFZ354" s="27"/>
      <c r="JGA354" s="27"/>
      <c r="JGB354" s="27"/>
      <c r="JGC354" s="27"/>
      <c r="JGD354" s="27"/>
      <c r="JGE354" s="27"/>
      <c r="JGF354" s="27"/>
      <c r="JGG354" s="27"/>
      <c r="JGH354" s="27"/>
      <c r="JGI354" s="27"/>
      <c r="JGJ354" s="27"/>
      <c r="JGK354" s="27"/>
      <c r="JGL354" s="27"/>
      <c r="JGM354" s="27"/>
      <c r="JGN354" s="27"/>
      <c r="JGO354" s="27"/>
      <c r="JGP354" s="27"/>
      <c r="JGQ354" s="27"/>
      <c r="JGR354" s="27"/>
      <c r="JGS354" s="27"/>
      <c r="JGT354" s="27"/>
      <c r="JGU354" s="27"/>
      <c r="JGV354" s="27"/>
      <c r="JGW354" s="27"/>
      <c r="JGX354" s="27"/>
      <c r="JGY354" s="27"/>
      <c r="JGZ354" s="27"/>
      <c r="JHA354" s="27"/>
      <c r="JHB354" s="27"/>
      <c r="JHC354" s="27"/>
      <c r="JHD354" s="27"/>
      <c r="JHE354" s="27"/>
      <c r="JHF354" s="27"/>
      <c r="JHG354" s="27"/>
      <c r="JHH354" s="27"/>
      <c r="JHI354" s="27"/>
      <c r="JHJ354" s="27"/>
      <c r="JHK354" s="27"/>
      <c r="JHL354" s="27"/>
      <c r="JHM354" s="27"/>
      <c r="JHN354" s="27"/>
      <c r="JHO354" s="27"/>
      <c r="JHP354" s="27"/>
      <c r="JHQ354" s="27"/>
      <c r="JHR354" s="27"/>
      <c r="JHS354" s="27"/>
      <c r="JHT354" s="27"/>
      <c r="JHU354" s="27"/>
      <c r="JHV354" s="27"/>
      <c r="JHW354" s="27"/>
      <c r="JHX354" s="27"/>
      <c r="JHY354" s="27"/>
      <c r="JHZ354" s="27"/>
      <c r="JIA354" s="27"/>
      <c r="JIB354" s="27"/>
      <c r="JIC354" s="27"/>
      <c r="JID354" s="27"/>
      <c r="JIE354" s="27"/>
      <c r="JIF354" s="27"/>
      <c r="JIG354" s="27"/>
      <c r="JIH354" s="27"/>
      <c r="JII354" s="27"/>
      <c r="JIJ354" s="27"/>
      <c r="JIK354" s="27"/>
      <c r="JIL354" s="27"/>
      <c r="JIM354" s="27"/>
      <c r="JIN354" s="27"/>
      <c r="JIO354" s="27"/>
      <c r="JIP354" s="27"/>
      <c r="JIQ354" s="27"/>
      <c r="JIR354" s="27"/>
      <c r="JIS354" s="27"/>
      <c r="JIT354" s="27"/>
      <c r="JIU354" s="27"/>
      <c r="JIV354" s="27"/>
      <c r="JIW354" s="27"/>
      <c r="JIX354" s="27"/>
      <c r="JIY354" s="27"/>
      <c r="JIZ354" s="27"/>
      <c r="JJA354" s="27"/>
      <c r="JJB354" s="27"/>
      <c r="JJC354" s="27"/>
      <c r="JJD354" s="27"/>
      <c r="JJE354" s="27"/>
      <c r="JJF354" s="27"/>
      <c r="JJG354" s="27"/>
      <c r="JJH354" s="27"/>
      <c r="JJI354" s="27"/>
      <c r="JJJ354" s="27"/>
      <c r="JJK354" s="27"/>
      <c r="JJL354" s="27"/>
      <c r="JJM354" s="27"/>
      <c r="JJN354" s="27"/>
      <c r="JJO354" s="27"/>
      <c r="JJP354" s="27"/>
      <c r="JJQ354" s="27"/>
      <c r="JJR354" s="27"/>
      <c r="JJS354" s="27"/>
      <c r="JJT354" s="27"/>
      <c r="JJU354" s="27"/>
      <c r="JJV354" s="27"/>
      <c r="JJW354" s="27"/>
      <c r="JJX354" s="27"/>
      <c r="JJY354" s="27"/>
      <c r="JJZ354" s="27"/>
      <c r="JKA354" s="27"/>
      <c r="JKB354" s="27"/>
      <c r="JKC354" s="27"/>
      <c r="JKD354" s="27"/>
      <c r="JKE354" s="27"/>
      <c r="JKF354" s="27"/>
      <c r="JKG354" s="27"/>
      <c r="JKH354" s="27"/>
      <c r="JKI354" s="27"/>
      <c r="JKJ354" s="27"/>
      <c r="JKK354" s="27"/>
      <c r="JKL354" s="27"/>
      <c r="JKM354" s="27"/>
      <c r="JKN354" s="27"/>
      <c r="JKO354" s="27"/>
      <c r="JKP354" s="27"/>
      <c r="JKQ354" s="27"/>
      <c r="JKR354" s="27"/>
      <c r="JKS354" s="27"/>
      <c r="JKT354" s="27"/>
      <c r="JKU354" s="27"/>
      <c r="JKV354" s="27"/>
      <c r="JKW354" s="27"/>
      <c r="JKX354" s="27"/>
      <c r="JKY354" s="27"/>
      <c r="JKZ354" s="27"/>
      <c r="JLA354" s="27"/>
      <c r="JLB354" s="27"/>
      <c r="JLC354" s="27"/>
      <c r="JLD354" s="27"/>
      <c r="JLE354" s="27"/>
      <c r="JLF354" s="27"/>
      <c r="JLG354" s="27"/>
      <c r="JLH354" s="27"/>
      <c r="JLI354" s="27"/>
      <c r="JLJ354" s="27"/>
      <c r="JLK354" s="27"/>
      <c r="JLL354" s="27"/>
      <c r="JLM354" s="27"/>
      <c r="JLN354" s="27"/>
      <c r="JLO354" s="27"/>
      <c r="JLP354" s="27"/>
      <c r="JLQ354" s="27"/>
      <c r="JLR354" s="27"/>
      <c r="JLS354" s="27"/>
      <c r="JLT354" s="27"/>
      <c r="JLU354" s="27"/>
      <c r="JLV354" s="27"/>
      <c r="JLW354" s="27"/>
      <c r="JLX354" s="27"/>
      <c r="JLY354" s="27"/>
      <c r="JLZ354" s="27"/>
      <c r="JMA354" s="27"/>
      <c r="JMB354" s="27"/>
      <c r="JMC354" s="27"/>
      <c r="JMD354" s="27"/>
      <c r="JME354" s="27"/>
      <c r="JMF354" s="27"/>
      <c r="JMG354" s="27"/>
      <c r="JMH354" s="27"/>
      <c r="JMI354" s="27"/>
      <c r="JMJ354" s="27"/>
      <c r="JMK354" s="27"/>
      <c r="JML354" s="27"/>
      <c r="JMM354" s="27"/>
      <c r="JMN354" s="27"/>
      <c r="JMO354" s="27"/>
      <c r="JMP354" s="27"/>
      <c r="JMQ354" s="27"/>
      <c r="JMR354" s="27"/>
      <c r="JMS354" s="27"/>
      <c r="JMT354" s="27"/>
      <c r="JMU354" s="27"/>
      <c r="JMV354" s="27"/>
      <c r="JMW354" s="27"/>
      <c r="JMX354" s="27"/>
      <c r="JMY354" s="27"/>
      <c r="JMZ354" s="27"/>
      <c r="JNA354" s="27"/>
      <c r="JNB354" s="27"/>
      <c r="JNC354" s="27"/>
      <c r="JND354" s="27"/>
      <c r="JNE354" s="27"/>
      <c r="JNF354" s="27"/>
      <c r="JNG354" s="27"/>
      <c r="JNH354" s="27"/>
      <c r="JNI354" s="27"/>
      <c r="JNJ354" s="27"/>
      <c r="JNK354" s="27"/>
      <c r="JNL354" s="27"/>
      <c r="JNM354" s="27"/>
      <c r="JNN354" s="27"/>
      <c r="JNO354" s="27"/>
      <c r="JNP354" s="27"/>
      <c r="JNQ354" s="27"/>
      <c r="JNR354" s="27"/>
      <c r="JNS354" s="27"/>
      <c r="JNT354" s="27"/>
      <c r="JNU354" s="27"/>
      <c r="JNV354" s="27"/>
      <c r="JNW354" s="27"/>
      <c r="JNX354" s="27"/>
      <c r="JNY354" s="27"/>
      <c r="JNZ354" s="27"/>
      <c r="JOA354" s="27"/>
      <c r="JOB354" s="27"/>
      <c r="JOC354" s="27"/>
      <c r="JOD354" s="27"/>
      <c r="JOE354" s="27"/>
      <c r="JOF354" s="27"/>
      <c r="JOG354" s="27"/>
      <c r="JOH354" s="27"/>
      <c r="JOI354" s="27"/>
      <c r="JOJ354" s="27"/>
      <c r="JOK354" s="27"/>
      <c r="JOL354" s="27"/>
      <c r="JOM354" s="27"/>
      <c r="JON354" s="27"/>
      <c r="JOO354" s="27"/>
      <c r="JOP354" s="27"/>
      <c r="JOQ354" s="27"/>
      <c r="JOR354" s="27"/>
      <c r="JOS354" s="27"/>
      <c r="JOT354" s="27"/>
      <c r="JOU354" s="27"/>
      <c r="JOV354" s="27"/>
      <c r="JOW354" s="27"/>
      <c r="JOX354" s="27"/>
      <c r="JOY354" s="27"/>
      <c r="JOZ354" s="27"/>
      <c r="JPA354" s="27"/>
      <c r="JPB354" s="27"/>
      <c r="JPC354" s="27"/>
      <c r="JPD354" s="27"/>
      <c r="JPE354" s="27"/>
      <c r="JPF354" s="27"/>
      <c r="JPG354" s="27"/>
      <c r="JPH354" s="27"/>
      <c r="JPI354" s="27"/>
      <c r="JPJ354" s="27"/>
      <c r="JPK354" s="27"/>
      <c r="JPL354" s="27"/>
      <c r="JPM354" s="27"/>
      <c r="JPN354" s="27"/>
      <c r="JPO354" s="27"/>
      <c r="JPP354" s="27"/>
      <c r="JPQ354" s="27"/>
      <c r="JPR354" s="27"/>
      <c r="JPS354" s="27"/>
      <c r="JPT354" s="27"/>
      <c r="JPU354" s="27"/>
      <c r="JPV354" s="27"/>
      <c r="JPW354" s="27"/>
      <c r="JPX354" s="27"/>
      <c r="JPY354" s="27"/>
      <c r="JPZ354" s="27"/>
      <c r="JQA354" s="27"/>
      <c r="JQB354" s="27"/>
      <c r="JQC354" s="27"/>
      <c r="JQD354" s="27"/>
      <c r="JQE354" s="27"/>
      <c r="JQF354" s="27"/>
      <c r="JQG354" s="27"/>
      <c r="JQH354" s="27"/>
      <c r="JQI354" s="27"/>
      <c r="JQJ354" s="27"/>
      <c r="JQK354" s="27"/>
      <c r="JQL354" s="27"/>
      <c r="JQM354" s="27"/>
      <c r="JQN354" s="27"/>
      <c r="JQO354" s="27"/>
      <c r="JQP354" s="27"/>
      <c r="JQQ354" s="27"/>
      <c r="JQR354" s="27"/>
      <c r="JQS354" s="27"/>
      <c r="JQT354" s="27"/>
      <c r="JQU354" s="27"/>
      <c r="JQV354" s="27"/>
      <c r="JQW354" s="27"/>
      <c r="JQX354" s="27"/>
      <c r="JQY354" s="27"/>
      <c r="JQZ354" s="27"/>
      <c r="JRA354" s="27"/>
      <c r="JRB354" s="27"/>
      <c r="JRC354" s="27"/>
      <c r="JRD354" s="27"/>
      <c r="JRE354" s="27"/>
      <c r="JRF354" s="27"/>
      <c r="JRG354" s="27"/>
      <c r="JRH354" s="27"/>
      <c r="JRI354" s="27"/>
      <c r="JRJ354" s="27"/>
      <c r="JRK354" s="27"/>
      <c r="JRL354" s="27"/>
      <c r="JRM354" s="27"/>
      <c r="JRN354" s="27"/>
      <c r="JRO354" s="27"/>
      <c r="JRP354" s="27"/>
      <c r="JRQ354" s="27"/>
      <c r="JRR354" s="27"/>
      <c r="JRS354" s="27"/>
      <c r="JRT354" s="27"/>
      <c r="JRU354" s="27"/>
      <c r="JRV354" s="27"/>
      <c r="JRW354" s="27"/>
      <c r="JRX354" s="27"/>
      <c r="JRY354" s="27"/>
      <c r="JRZ354" s="27"/>
      <c r="JSA354" s="27"/>
      <c r="JSB354" s="27"/>
      <c r="JSC354" s="27"/>
      <c r="JSD354" s="27"/>
      <c r="JSE354" s="27"/>
      <c r="JSF354" s="27"/>
      <c r="JSG354" s="27"/>
      <c r="JSH354" s="27"/>
      <c r="JSI354" s="27"/>
      <c r="JSJ354" s="27"/>
      <c r="JSK354" s="27"/>
      <c r="JSL354" s="27"/>
      <c r="JSM354" s="27"/>
      <c r="JSN354" s="27"/>
      <c r="JSO354" s="27"/>
      <c r="JSP354" s="27"/>
      <c r="JSQ354" s="27"/>
      <c r="JSR354" s="27"/>
      <c r="JSS354" s="27"/>
      <c r="JST354" s="27"/>
      <c r="JSU354" s="27"/>
      <c r="JSV354" s="27"/>
      <c r="JSW354" s="27"/>
      <c r="JSX354" s="27"/>
      <c r="JSY354" s="27"/>
      <c r="JSZ354" s="27"/>
      <c r="JTA354" s="27"/>
      <c r="JTB354" s="27"/>
      <c r="JTC354" s="27"/>
      <c r="JTD354" s="27"/>
      <c r="JTE354" s="27"/>
      <c r="JTF354" s="27"/>
      <c r="JTG354" s="27"/>
      <c r="JTH354" s="27"/>
      <c r="JTI354" s="27"/>
      <c r="JTJ354" s="27"/>
      <c r="JTK354" s="27"/>
      <c r="JTL354" s="27"/>
      <c r="JTM354" s="27"/>
      <c r="JTN354" s="27"/>
      <c r="JTO354" s="27"/>
      <c r="JTP354" s="27"/>
      <c r="JTQ354" s="27"/>
      <c r="JTR354" s="27"/>
      <c r="JTS354" s="27"/>
      <c r="JTT354" s="27"/>
      <c r="JTU354" s="27"/>
      <c r="JTV354" s="27"/>
      <c r="JTW354" s="27"/>
      <c r="JTX354" s="27"/>
      <c r="JTY354" s="27"/>
      <c r="JTZ354" s="27"/>
      <c r="JUA354" s="27"/>
      <c r="JUB354" s="27"/>
      <c r="JUC354" s="27"/>
      <c r="JUD354" s="27"/>
      <c r="JUE354" s="27"/>
      <c r="JUF354" s="27"/>
      <c r="JUG354" s="27"/>
      <c r="JUH354" s="27"/>
      <c r="JUI354" s="27"/>
      <c r="JUJ354" s="27"/>
      <c r="JUK354" s="27"/>
      <c r="JUL354" s="27"/>
      <c r="JUM354" s="27"/>
      <c r="JUN354" s="27"/>
      <c r="JUO354" s="27"/>
      <c r="JUP354" s="27"/>
      <c r="JUQ354" s="27"/>
      <c r="JUR354" s="27"/>
      <c r="JUS354" s="27"/>
      <c r="JUT354" s="27"/>
      <c r="JUU354" s="27"/>
      <c r="JUV354" s="27"/>
      <c r="JUW354" s="27"/>
      <c r="JUX354" s="27"/>
      <c r="JUY354" s="27"/>
      <c r="JUZ354" s="27"/>
      <c r="JVA354" s="27"/>
      <c r="JVB354" s="27"/>
      <c r="JVC354" s="27"/>
      <c r="JVD354" s="27"/>
      <c r="JVE354" s="27"/>
      <c r="JVF354" s="27"/>
      <c r="JVG354" s="27"/>
      <c r="JVH354" s="27"/>
      <c r="JVI354" s="27"/>
      <c r="JVJ354" s="27"/>
      <c r="JVK354" s="27"/>
      <c r="JVL354" s="27"/>
      <c r="JVM354" s="27"/>
      <c r="JVN354" s="27"/>
      <c r="JVO354" s="27"/>
      <c r="JVP354" s="27"/>
      <c r="JVQ354" s="27"/>
      <c r="JVR354" s="27"/>
      <c r="JVS354" s="27"/>
      <c r="JVT354" s="27"/>
      <c r="JVU354" s="27"/>
      <c r="JVV354" s="27"/>
      <c r="JVW354" s="27"/>
      <c r="JVX354" s="27"/>
      <c r="JVY354" s="27"/>
      <c r="JVZ354" s="27"/>
      <c r="JWA354" s="27"/>
      <c r="JWB354" s="27"/>
      <c r="JWC354" s="27"/>
      <c r="JWD354" s="27"/>
      <c r="JWE354" s="27"/>
      <c r="JWF354" s="27"/>
      <c r="JWG354" s="27"/>
      <c r="JWH354" s="27"/>
      <c r="JWI354" s="27"/>
      <c r="JWJ354" s="27"/>
      <c r="JWK354" s="27"/>
      <c r="JWL354" s="27"/>
      <c r="JWM354" s="27"/>
      <c r="JWN354" s="27"/>
      <c r="JWO354" s="27"/>
      <c r="JWP354" s="27"/>
      <c r="JWQ354" s="27"/>
      <c r="JWR354" s="27"/>
      <c r="JWS354" s="27"/>
      <c r="JWT354" s="27"/>
      <c r="JWU354" s="27"/>
      <c r="JWV354" s="27"/>
      <c r="JWW354" s="27"/>
      <c r="JWX354" s="27"/>
      <c r="JWY354" s="27"/>
      <c r="JWZ354" s="27"/>
      <c r="JXA354" s="27"/>
      <c r="JXB354" s="27"/>
      <c r="JXC354" s="27"/>
      <c r="JXD354" s="27"/>
      <c r="JXE354" s="27"/>
      <c r="JXF354" s="27"/>
      <c r="JXG354" s="27"/>
      <c r="JXH354" s="27"/>
      <c r="JXI354" s="27"/>
      <c r="JXJ354" s="27"/>
      <c r="JXK354" s="27"/>
      <c r="JXL354" s="27"/>
      <c r="JXM354" s="27"/>
      <c r="JXN354" s="27"/>
      <c r="JXO354" s="27"/>
      <c r="JXP354" s="27"/>
      <c r="JXQ354" s="27"/>
      <c r="JXR354" s="27"/>
      <c r="JXS354" s="27"/>
      <c r="JXT354" s="27"/>
      <c r="JXU354" s="27"/>
      <c r="JXV354" s="27"/>
      <c r="JXW354" s="27"/>
      <c r="JXX354" s="27"/>
      <c r="JXY354" s="27"/>
      <c r="JXZ354" s="27"/>
      <c r="JYA354" s="27"/>
      <c r="JYB354" s="27"/>
      <c r="JYC354" s="27"/>
      <c r="JYD354" s="27"/>
      <c r="JYE354" s="27"/>
      <c r="JYF354" s="27"/>
      <c r="JYG354" s="27"/>
      <c r="JYH354" s="27"/>
      <c r="JYI354" s="27"/>
      <c r="JYJ354" s="27"/>
      <c r="JYK354" s="27"/>
      <c r="JYL354" s="27"/>
      <c r="JYM354" s="27"/>
      <c r="JYN354" s="27"/>
      <c r="JYO354" s="27"/>
      <c r="JYP354" s="27"/>
      <c r="JYQ354" s="27"/>
      <c r="JYR354" s="27"/>
      <c r="JYS354" s="27"/>
      <c r="JYT354" s="27"/>
      <c r="JYU354" s="27"/>
      <c r="JYV354" s="27"/>
      <c r="JYW354" s="27"/>
      <c r="JYX354" s="27"/>
      <c r="JYY354" s="27"/>
      <c r="JYZ354" s="27"/>
      <c r="JZA354" s="27"/>
      <c r="JZB354" s="27"/>
      <c r="JZC354" s="27"/>
      <c r="JZD354" s="27"/>
      <c r="JZE354" s="27"/>
      <c r="JZF354" s="27"/>
      <c r="JZG354" s="27"/>
      <c r="JZH354" s="27"/>
      <c r="JZI354" s="27"/>
      <c r="JZJ354" s="27"/>
      <c r="JZK354" s="27"/>
      <c r="JZL354" s="27"/>
      <c r="JZM354" s="27"/>
      <c r="JZN354" s="27"/>
      <c r="JZO354" s="27"/>
      <c r="JZP354" s="27"/>
      <c r="JZQ354" s="27"/>
      <c r="JZR354" s="27"/>
      <c r="JZS354" s="27"/>
      <c r="JZT354" s="27"/>
      <c r="JZU354" s="27"/>
      <c r="JZV354" s="27"/>
      <c r="JZW354" s="27"/>
      <c r="JZX354" s="27"/>
      <c r="JZY354" s="27"/>
      <c r="JZZ354" s="27"/>
      <c r="KAA354" s="27"/>
      <c r="KAB354" s="27"/>
      <c r="KAC354" s="27"/>
      <c r="KAD354" s="27"/>
      <c r="KAE354" s="27"/>
      <c r="KAF354" s="27"/>
      <c r="KAG354" s="27"/>
      <c r="KAH354" s="27"/>
      <c r="KAI354" s="27"/>
      <c r="KAJ354" s="27"/>
      <c r="KAK354" s="27"/>
      <c r="KAL354" s="27"/>
      <c r="KAM354" s="27"/>
      <c r="KAN354" s="27"/>
      <c r="KAO354" s="27"/>
      <c r="KAP354" s="27"/>
      <c r="KAQ354" s="27"/>
      <c r="KAR354" s="27"/>
      <c r="KAS354" s="27"/>
      <c r="KAT354" s="27"/>
      <c r="KAU354" s="27"/>
      <c r="KAV354" s="27"/>
      <c r="KAW354" s="27"/>
      <c r="KAX354" s="27"/>
      <c r="KAY354" s="27"/>
      <c r="KAZ354" s="27"/>
      <c r="KBA354" s="27"/>
      <c r="KBB354" s="27"/>
      <c r="KBC354" s="27"/>
      <c r="KBD354" s="27"/>
      <c r="KBE354" s="27"/>
      <c r="KBF354" s="27"/>
      <c r="KBG354" s="27"/>
      <c r="KBH354" s="27"/>
      <c r="KBI354" s="27"/>
      <c r="KBJ354" s="27"/>
      <c r="KBK354" s="27"/>
      <c r="KBL354" s="27"/>
      <c r="KBM354" s="27"/>
      <c r="KBN354" s="27"/>
      <c r="KBO354" s="27"/>
      <c r="KBP354" s="27"/>
      <c r="KBQ354" s="27"/>
      <c r="KBR354" s="27"/>
      <c r="KBS354" s="27"/>
      <c r="KBT354" s="27"/>
      <c r="KBU354" s="27"/>
      <c r="KBV354" s="27"/>
      <c r="KBW354" s="27"/>
      <c r="KBX354" s="27"/>
      <c r="KBY354" s="27"/>
      <c r="KBZ354" s="27"/>
      <c r="KCA354" s="27"/>
      <c r="KCB354" s="27"/>
      <c r="KCC354" s="27"/>
      <c r="KCD354" s="27"/>
      <c r="KCE354" s="27"/>
      <c r="KCF354" s="27"/>
      <c r="KCG354" s="27"/>
      <c r="KCH354" s="27"/>
      <c r="KCI354" s="27"/>
      <c r="KCJ354" s="27"/>
      <c r="KCK354" s="27"/>
      <c r="KCL354" s="27"/>
      <c r="KCM354" s="27"/>
      <c r="KCN354" s="27"/>
      <c r="KCO354" s="27"/>
      <c r="KCP354" s="27"/>
      <c r="KCQ354" s="27"/>
      <c r="KCR354" s="27"/>
      <c r="KCS354" s="27"/>
      <c r="KCT354" s="27"/>
      <c r="KCU354" s="27"/>
      <c r="KCV354" s="27"/>
      <c r="KCW354" s="27"/>
      <c r="KCX354" s="27"/>
      <c r="KCY354" s="27"/>
      <c r="KCZ354" s="27"/>
      <c r="KDA354" s="27"/>
      <c r="KDB354" s="27"/>
      <c r="KDC354" s="27"/>
      <c r="KDD354" s="27"/>
      <c r="KDE354" s="27"/>
      <c r="KDF354" s="27"/>
      <c r="KDG354" s="27"/>
      <c r="KDH354" s="27"/>
      <c r="KDI354" s="27"/>
      <c r="KDJ354" s="27"/>
      <c r="KDK354" s="27"/>
      <c r="KDL354" s="27"/>
      <c r="KDM354" s="27"/>
      <c r="KDN354" s="27"/>
      <c r="KDO354" s="27"/>
      <c r="KDP354" s="27"/>
      <c r="KDQ354" s="27"/>
      <c r="KDR354" s="27"/>
      <c r="KDS354" s="27"/>
      <c r="KDT354" s="27"/>
      <c r="KDU354" s="27"/>
      <c r="KDV354" s="27"/>
      <c r="KDW354" s="27"/>
      <c r="KDX354" s="27"/>
      <c r="KDY354" s="27"/>
      <c r="KDZ354" s="27"/>
      <c r="KEA354" s="27"/>
      <c r="KEB354" s="27"/>
      <c r="KEC354" s="27"/>
      <c r="KED354" s="27"/>
      <c r="KEE354" s="27"/>
      <c r="KEF354" s="27"/>
      <c r="KEG354" s="27"/>
      <c r="KEH354" s="27"/>
      <c r="KEI354" s="27"/>
      <c r="KEJ354" s="27"/>
      <c r="KEK354" s="27"/>
      <c r="KEL354" s="27"/>
      <c r="KEM354" s="27"/>
      <c r="KEN354" s="27"/>
      <c r="KEO354" s="27"/>
      <c r="KEP354" s="27"/>
      <c r="KEQ354" s="27"/>
      <c r="KER354" s="27"/>
      <c r="KES354" s="27"/>
      <c r="KET354" s="27"/>
      <c r="KEU354" s="27"/>
      <c r="KEV354" s="27"/>
      <c r="KEW354" s="27"/>
      <c r="KEX354" s="27"/>
      <c r="KEY354" s="27"/>
      <c r="KEZ354" s="27"/>
      <c r="KFA354" s="27"/>
      <c r="KFB354" s="27"/>
      <c r="KFC354" s="27"/>
      <c r="KFD354" s="27"/>
      <c r="KFE354" s="27"/>
      <c r="KFF354" s="27"/>
      <c r="KFG354" s="27"/>
      <c r="KFH354" s="27"/>
      <c r="KFI354" s="27"/>
      <c r="KFJ354" s="27"/>
      <c r="KFK354" s="27"/>
      <c r="KFL354" s="27"/>
      <c r="KFM354" s="27"/>
      <c r="KFN354" s="27"/>
      <c r="KFO354" s="27"/>
      <c r="KFP354" s="27"/>
      <c r="KFQ354" s="27"/>
      <c r="KFR354" s="27"/>
      <c r="KFS354" s="27"/>
      <c r="KFT354" s="27"/>
      <c r="KFU354" s="27"/>
      <c r="KFV354" s="27"/>
      <c r="KFW354" s="27"/>
      <c r="KFX354" s="27"/>
      <c r="KFY354" s="27"/>
      <c r="KFZ354" s="27"/>
      <c r="KGA354" s="27"/>
      <c r="KGB354" s="27"/>
      <c r="KGC354" s="27"/>
      <c r="KGD354" s="27"/>
      <c r="KGE354" s="27"/>
      <c r="KGF354" s="27"/>
      <c r="KGG354" s="27"/>
      <c r="KGH354" s="27"/>
      <c r="KGI354" s="27"/>
      <c r="KGJ354" s="27"/>
      <c r="KGK354" s="27"/>
      <c r="KGL354" s="27"/>
      <c r="KGM354" s="27"/>
      <c r="KGN354" s="27"/>
      <c r="KGO354" s="27"/>
      <c r="KGP354" s="27"/>
      <c r="KGQ354" s="27"/>
      <c r="KGR354" s="27"/>
      <c r="KGS354" s="27"/>
      <c r="KGT354" s="27"/>
      <c r="KGU354" s="27"/>
      <c r="KGV354" s="27"/>
      <c r="KGW354" s="27"/>
      <c r="KGX354" s="27"/>
      <c r="KGY354" s="27"/>
      <c r="KGZ354" s="27"/>
      <c r="KHA354" s="27"/>
      <c r="KHB354" s="27"/>
      <c r="KHC354" s="27"/>
      <c r="KHD354" s="27"/>
      <c r="KHE354" s="27"/>
      <c r="KHF354" s="27"/>
      <c r="KHG354" s="27"/>
      <c r="KHH354" s="27"/>
      <c r="KHI354" s="27"/>
      <c r="KHJ354" s="27"/>
      <c r="KHK354" s="27"/>
      <c r="KHL354" s="27"/>
      <c r="KHM354" s="27"/>
      <c r="KHN354" s="27"/>
      <c r="KHO354" s="27"/>
      <c r="KHP354" s="27"/>
      <c r="KHQ354" s="27"/>
      <c r="KHR354" s="27"/>
      <c r="KHS354" s="27"/>
      <c r="KHT354" s="27"/>
      <c r="KHU354" s="27"/>
      <c r="KHV354" s="27"/>
      <c r="KHW354" s="27"/>
      <c r="KHX354" s="27"/>
      <c r="KHY354" s="27"/>
      <c r="KHZ354" s="27"/>
      <c r="KIA354" s="27"/>
      <c r="KIB354" s="27"/>
      <c r="KIC354" s="27"/>
      <c r="KID354" s="27"/>
      <c r="KIE354" s="27"/>
      <c r="KIF354" s="27"/>
      <c r="KIG354" s="27"/>
      <c r="KIH354" s="27"/>
      <c r="KII354" s="27"/>
      <c r="KIJ354" s="27"/>
      <c r="KIK354" s="27"/>
      <c r="KIL354" s="27"/>
      <c r="KIM354" s="27"/>
      <c r="KIN354" s="27"/>
      <c r="KIO354" s="27"/>
      <c r="KIP354" s="27"/>
      <c r="KIQ354" s="27"/>
      <c r="KIR354" s="27"/>
      <c r="KIS354" s="27"/>
      <c r="KIT354" s="27"/>
      <c r="KIU354" s="27"/>
      <c r="KIV354" s="27"/>
      <c r="KIW354" s="27"/>
      <c r="KIX354" s="27"/>
      <c r="KIY354" s="27"/>
      <c r="KIZ354" s="27"/>
      <c r="KJA354" s="27"/>
      <c r="KJB354" s="27"/>
      <c r="KJC354" s="27"/>
      <c r="KJD354" s="27"/>
      <c r="KJE354" s="27"/>
      <c r="KJF354" s="27"/>
      <c r="KJG354" s="27"/>
      <c r="KJH354" s="27"/>
      <c r="KJI354" s="27"/>
      <c r="KJJ354" s="27"/>
      <c r="KJK354" s="27"/>
      <c r="KJL354" s="27"/>
      <c r="KJM354" s="27"/>
      <c r="KJN354" s="27"/>
      <c r="KJO354" s="27"/>
      <c r="KJP354" s="27"/>
      <c r="KJQ354" s="27"/>
      <c r="KJR354" s="27"/>
      <c r="KJS354" s="27"/>
      <c r="KJT354" s="27"/>
      <c r="KJU354" s="27"/>
      <c r="KJV354" s="27"/>
      <c r="KJW354" s="27"/>
      <c r="KJX354" s="27"/>
      <c r="KJY354" s="27"/>
      <c r="KJZ354" s="27"/>
      <c r="KKA354" s="27"/>
      <c r="KKB354" s="27"/>
      <c r="KKC354" s="27"/>
      <c r="KKD354" s="27"/>
      <c r="KKE354" s="27"/>
      <c r="KKF354" s="27"/>
      <c r="KKG354" s="27"/>
      <c r="KKH354" s="27"/>
      <c r="KKI354" s="27"/>
      <c r="KKJ354" s="27"/>
      <c r="KKK354" s="27"/>
      <c r="KKL354" s="27"/>
      <c r="KKM354" s="27"/>
      <c r="KKN354" s="27"/>
      <c r="KKO354" s="27"/>
      <c r="KKP354" s="27"/>
      <c r="KKQ354" s="27"/>
      <c r="KKR354" s="27"/>
      <c r="KKS354" s="27"/>
      <c r="KKT354" s="27"/>
      <c r="KKU354" s="27"/>
      <c r="KKV354" s="27"/>
      <c r="KKW354" s="27"/>
      <c r="KKX354" s="27"/>
      <c r="KKY354" s="27"/>
      <c r="KKZ354" s="27"/>
      <c r="KLA354" s="27"/>
      <c r="KLB354" s="27"/>
      <c r="KLC354" s="27"/>
      <c r="KLD354" s="27"/>
      <c r="KLE354" s="27"/>
      <c r="KLF354" s="27"/>
      <c r="KLG354" s="27"/>
      <c r="KLH354" s="27"/>
      <c r="KLI354" s="27"/>
      <c r="KLJ354" s="27"/>
      <c r="KLK354" s="27"/>
      <c r="KLL354" s="27"/>
      <c r="KLM354" s="27"/>
      <c r="KLN354" s="27"/>
      <c r="KLO354" s="27"/>
      <c r="KLP354" s="27"/>
      <c r="KLQ354" s="27"/>
      <c r="KLR354" s="27"/>
      <c r="KLS354" s="27"/>
      <c r="KLT354" s="27"/>
      <c r="KLU354" s="27"/>
      <c r="KLV354" s="27"/>
      <c r="KLW354" s="27"/>
      <c r="KLX354" s="27"/>
      <c r="KLY354" s="27"/>
      <c r="KLZ354" s="27"/>
      <c r="KMA354" s="27"/>
      <c r="KMB354" s="27"/>
      <c r="KMC354" s="27"/>
      <c r="KMD354" s="27"/>
      <c r="KME354" s="27"/>
      <c r="KMF354" s="27"/>
      <c r="KMG354" s="27"/>
      <c r="KMH354" s="27"/>
      <c r="KMI354" s="27"/>
      <c r="KMJ354" s="27"/>
      <c r="KMK354" s="27"/>
      <c r="KML354" s="27"/>
      <c r="KMM354" s="27"/>
      <c r="KMN354" s="27"/>
      <c r="KMO354" s="27"/>
      <c r="KMP354" s="27"/>
      <c r="KMQ354" s="27"/>
      <c r="KMR354" s="27"/>
      <c r="KMS354" s="27"/>
      <c r="KMT354" s="27"/>
      <c r="KMU354" s="27"/>
      <c r="KMV354" s="27"/>
      <c r="KMW354" s="27"/>
      <c r="KMX354" s="27"/>
      <c r="KMY354" s="27"/>
      <c r="KMZ354" s="27"/>
      <c r="KNA354" s="27"/>
      <c r="KNB354" s="27"/>
      <c r="KNC354" s="27"/>
      <c r="KND354" s="27"/>
      <c r="KNE354" s="27"/>
      <c r="KNF354" s="27"/>
      <c r="KNG354" s="27"/>
      <c r="KNH354" s="27"/>
      <c r="KNI354" s="27"/>
      <c r="KNJ354" s="27"/>
      <c r="KNK354" s="27"/>
      <c r="KNL354" s="27"/>
      <c r="KNM354" s="27"/>
      <c r="KNN354" s="27"/>
      <c r="KNO354" s="27"/>
      <c r="KNP354" s="27"/>
      <c r="KNQ354" s="27"/>
      <c r="KNR354" s="27"/>
      <c r="KNS354" s="27"/>
      <c r="KNT354" s="27"/>
      <c r="KNU354" s="27"/>
      <c r="KNV354" s="27"/>
      <c r="KNW354" s="27"/>
      <c r="KNX354" s="27"/>
      <c r="KNY354" s="27"/>
      <c r="KNZ354" s="27"/>
      <c r="KOA354" s="27"/>
      <c r="KOB354" s="27"/>
      <c r="KOC354" s="27"/>
      <c r="KOD354" s="27"/>
      <c r="KOE354" s="27"/>
      <c r="KOF354" s="27"/>
      <c r="KOG354" s="27"/>
      <c r="KOH354" s="27"/>
      <c r="KOI354" s="27"/>
      <c r="KOJ354" s="27"/>
      <c r="KOK354" s="27"/>
      <c r="KOL354" s="27"/>
      <c r="KOM354" s="27"/>
      <c r="KON354" s="27"/>
      <c r="KOO354" s="27"/>
      <c r="KOP354" s="27"/>
      <c r="KOQ354" s="27"/>
      <c r="KOR354" s="27"/>
      <c r="KOS354" s="27"/>
      <c r="KOT354" s="27"/>
      <c r="KOU354" s="27"/>
      <c r="KOV354" s="27"/>
      <c r="KOW354" s="27"/>
      <c r="KOX354" s="27"/>
      <c r="KOY354" s="27"/>
      <c r="KOZ354" s="27"/>
      <c r="KPA354" s="27"/>
      <c r="KPB354" s="27"/>
      <c r="KPC354" s="27"/>
      <c r="KPD354" s="27"/>
      <c r="KPE354" s="27"/>
      <c r="KPF354" s="27"/>
      <c r="KPG354" s="27"/>
      <c r="KPH354" s="27"/>
      <c r="KPI354" s="27"/>
      <c r="KPJ354" s="27"/>
      <c r="KPK354" s="27"/>
      <c r="KPL354" s="27"/>
      <c r="KPM354" s="27"/>
      <c r="KPN354" s="27"/>
      <c r="KPO354" s="27"/>
      <c r="KPP354" s="27"/>
      <c r="KPQ354" s="27"/>
      <c r="KPR354" s="27"/>
      <c r="KPS354" s="27"/>
      <c r="KPT354" s="27"/>
      <c r="KPU354" s="27"/>
      <c r="KPV354" s="27"/>
      <c r="KPW354" s="27"/>
      <c r="KPX354" s="27"/>
      <c r="KPY354" s="27"/>
      <c r="KPZ354" s="27"/>
      <c r="KQA354" s="27"/>
      <c r="KQB354" s="27"/>
      <c r="KQC354" s="27"/>
      <c r="KQD354" s="27"/>
      <c r="KQE354" s="27"/>
      <c r="KQF354" s="27"/>
      <c r="KQG354" s="27"/>
      <c r="KQH354" s="27"/>
      <c r="KQI354" s="27"/>
      <c r="KQJ354" s="27"/>
      <c r="KQK354" s="27"/>
      <c r="KQL354" s="27"/>
      <c r="KQM354" s="27"/>
      <c r="KQN354" s="27"/>
      <c r="KQO354" s="27"/>
      <c r="KQP354" s="27"/>
      <c r="KQQ354" s="27"/>
      <c r="KQR354" s="27"/>
      <c r="KQS354" s="27"/>
      <c r="KQT354" s="27"/>
      <c r="KQU354" s="27"/>
      <c r="KQV354" s="27"/>
      <c r="KQW354" s="27"/>
      <c r="KQX354" s="27"/>
      <c r="KQY354" s="27"/>
      <c r="KQZ354" s="27"/>
      <c r="KRA354" s="27"/>
      <c r="KRB354" s="27"/>
      <c r="KRC354" s="27"/>
      <c r="KRD354" s="27"/>
      <c r="KRE354" s="27"/>
      <c r="KRF354" s="27"/>
      <c r="KRG354" s="27"/>
      <c r="KRH354" s="27"/>
      <c r="KRI354" s="27"/>
      <c r="KRJ354" s="27"/>
      <c r="KRK354" s="27"/>
      <c r="KRL354" s="27"/>
      <c r="KRM354" s="27"/>
      <c r="KRN354" s="27"/>
      <c r="KRO354" s="27"/>
      <c r="KRP354" s="27"/>
      <c r="KRQ354" s="27"/>
      <c r="KRR354" s="27"/>
      <c r="KRS354" s="27"/>
      <c r="KRT354" s="27"/>
      <c r="KRU354" s="27"/>
      <c r="KRV354" s="27"/>
      <c r="KRW354" s="27"/>
      <c r="KRX354" s="27"/>
      <c r="KRY354" s="27"/>
      <c r="KRZ354" s="27"/>
      <c r="KSA354" s="27"/>
      <c r="KSB354" s="27"/>
      <c r="KSC354" s="27"/>
      <c r="KSD354" s="27"/>
      <c r="KSE354" s="27"/>
      <c r="KSF354" s="27"/>
      <c r="KSG354" s="27"/>
      <c r="KSH354" s="27"/>
      <c r="KSI354" s="27"/>
      <c r="KSJ354" s="27"/>
      <c r="KSK354" s="27"/>
      <c r="KSL354" s="27"/>
      <c r="KSM354" s="27"/>
      <c r="KSN354" s="27"/>
      <c r="KSO354" s="27"/>
      <c r="KSP354" s="27"/>
      <c r="KSQ354" s="27"/>
      <c r="KSR354" s="27"/>
      <c r="KSS354" s="27"/>
      <c r="KST354" s="27"/>
      <c r="KSU354" s="27"/>
      <c r="KSV354" s="27"/>
      <c r="KSW354" s="27"/>
      <c r="KSX354" s="27"/>
      <c r="KSY354" s="27"/>
      <c r="KSZ354" s="27"/>
      <c r="KTA354" s="27"/>
      <c r="KTB354" s="27"/>
      <c r="KTC354" s="27"/>
      <c r="KTD354" s="27"/>
      <c r="KTE354" s="27"/>
      <c r="KTF354" s="27"/>
      <c r="KTG354" s="27"/>
      <c r="KTH354" s="27"/>
      <c r="KTI354" s="27"/>
      <c r="KTJ354" s="27"/>
      <c r="KTK354" s="27"/>
      <c r="KTL354" s="27"/>
      <c r="KTM354" s="27"/>
      <c r="KTN354" s="27"/>
      <c r="KTO354" s="27"/>
      <c r="KTP354" s="27"/>
      <c r="KTQ354" s="27"/>
      <c r="KTR354" s="27"/>
      <c r="KTS354" s="27"/>
      <c r="KTT354" s="27"/>
      <c r="KTU354" s="27"/>
      <c r="KTV354" s="27"/>
      <c r="KTW354" s="27"/>
      <c r="KTX354" s="27"/>
      <c r="KTY354" s="27"/>
      <c r="KTZ354" s="27"/>
      <c r="KUA354" s="27"/>
      <c r="KUB354" s="27"/>
      <c r="KUC354" s="27"/>
      <c r="KUD354" s="27"/>
      <c r="KUE354" s="27"/>
      <c r="KUF354" s="27"/>
      <c r="KUG354" s="27"/>
      <c r="KUH354" s="27"/>
      <c r="KUI354" s="27"/>
      <c r="KUJ354" s="27"/>
      <c r="KUK354" s="27"/>
      <c r="KUL354" s="27"/>
      <c r="KUM354" s="27"/>
      <c r="KUN354" s="27"/>
      <c r="KUO354" s="27"/>
      <c r="KUP354" s="27"/>
      <c r="KUQ354" s="27"/>
      <c r="KUR354" s="27"/>
      <c r="KUS354" s="27"/>
      <c r="KUT354" s="27"/>
      <c r="KUU354" s="27"/>
      <c r="KUV354" s="27"/>
      <c r="KUW354" s="27"/>
      <c r="KUX354" s="27"/>
      <c r="KUY354" s="27"/>
      <c r="KUZ354" s="27"/>
      <c r="KVA354" s="27"/>
      <c r="KVB354" s="27"/>
      <c r="KVC354" s="27"/>
      <c r="KVD354" s="27"/>
      <c r="KVE354" s="27"/>
      <c r="KVF354" s="27"/>
      <c r="KVG354" s="27"/>
      <c r="KVH354" s="27"/>
      <c r="KVI354" s="27"/>
      <c r="KVJ354" s="27"/>
      <c r="KVK354" s="27"/>
      <c r="KVL354" s="27"/>
      <c r="KVM354" s="27"/>
      <c r="KVN354" s="27"/>
      <c r="KVO354" s="27"/>
      <c r="KVP354" s="27"/>
      <c r="KVQ354" s="27"/>
      <c r="KVR354" s="27"/>
      <c r="KVS354" s="27"/>
      <c r="KVT354" s="27"/>
      <c r="KVU354" s="27"/>
      <c r="KVV354" s="27"/>
      <c r="KVW354" s="27"/>
      <c r="KVX354" s="27"/>
      <c r="KVY354" s="27"/>
      <c r="KVZ354" s="27"/>
      <c r="KWA354" s="27"/>
      <c r="KWB354" s="27"/>
      <c r="KWC354" s="27"/>
      <c r="KWD354" s="27"/>
      <c r="KWE354" s="27"/>
      <c r="KWF354" s="27"/>
      <c r="KWG354" s="27"/>
      <c r="KWH354" s="27"/>
      <c r="KWI354" s="27"/>
      <c r="KWJ354" s="27"/>
      <c r="KWK354" s="27"/>
      <c r="KWL354" s="27"/>
      <c r="KWM354" s="27"/>
      <c r="KWN354" s="27"/>
      <c r="KWO354" s="27"/>
      <c r="KWP354" s="27"/>
      <c r="KWQ354" s="27"/>
      <c r="KWR354" s="27"/>
      <c r="KWS354" s="27"/>
      <c r="KWT354" s="27"/>
      <c r="KWU354" s="27"/>
      <c r="KWV354" s="27"/>
      <c r="KWW354" s="27"/>
      <c r="KWX354" s="27"/>
      <c r="KWY354" s="27"/>
      <c r="KWZ354" s="27"/>
      <c r="KXA354" s="27"/>
      <c r="KXB354" s="27"/>
      <c r="KXC354" s="27"/>
      <c r="KXD354" s="27"/>
      <c r="KXE354" s="27"/>
      <c r="KXF354" s="27"/>
      <c r="KXG354" s="27"/>
      <c r="KXH354" s="27"/>
      <c r="KXI354" s="27"/>
      <c r="KXJ354" s="27"/>
      <c r="KXK354" s="27"/>
      <c r="KXL354" s="27"/>
      <c r="KXM354" s="27"/>
      <c r="KXN354" s="27"/>
      <c r="KXO354" s="27"/>
      <c r="KXP354" s="27"/>
      <c r="KXQ354" s="27"/>
      <c r="KXR354" s="27"/>
      <c r="KXS354" s="27"/>
      <c r="KXT354" s="27"/>
      <c r="KXU354" s="27"/>
      <c r="KXV354" s="27"/>
      <c r="KXW354" s="27"/>
      <c r="KXX354" s="27"/>
      <c r="KXY354" s="27"/>
      <c r="KXZ354" s="27"/>
      <c r="KYA354" s="27"/>
      <c r="KYB354" s="27"/>
      <c r="KYC354" s="27"/>
      <c r="KYD354" s="27"/>
      <c r="KYE354" s="27"/>
      <c r="KYF354" s="27"/>
      <c r="KYG354" s="27"/>
      <c r="KYH354" s="27"/>
      <c r="KYI354" s="27"/>
      <c r="KYJ354" s="27"/>
      <c r="KYK354" s="27"/>
      <c r="KYL354" s="27"/>
      <c r="KYM354" s="27"/>
      <c r="KYN354" s="27"/>
      <c r="KYO354" s="27"/>
      <c r="KYP354" s="27"/>
      <c r="KYQ354" s="27"/>
      <c r="KYR354" s="27"/>
      <c r="KYS354" s="27"/>
      <c r="KYT354" s="27"/>
      <c r="KYU354" s="27"/>
      <c r="KYV354" s="27"/>
      <c r="KYW354" s="27"/>
      <c r="KYX354" s="27"/>
      <c r="KYY354" s="27"/>
      <c r="KYZ354" s="27"/>
      <c r="KZA354" s="27"/>
      <c r="KZB354" s="27"/>
      <c r="KZC354" s="27"/>
      <c r="KZD354" s="27"/>
      <c r="KZE354" s="27"/>
      <c r="KZF354" s="27"/>
      <c r="KZG354" s="27"/>
      <c r="KZH354" s="27"/>
      <c r="KZI354" s="27"/>
      <c r="KZJ354" s="27"/>
      <c r="KZK354" s="27"/>
      <c r="KZL354" s="27"/>
      <c r="KZM354" s="27"/>
      <c r="KZN354" s="27"/>
      <c r="KZO354" s="27"/>
      <c r="KZP354" s="27"/>
      <c r="KZQ354" s="27"/>
      <c r="KZR354" s="27"/>
      <c r="KZS354" s="27"/>
      <c r="KZT354" s="27"/>
      <c r="KZU354" s="27"/>
      <c r="KZV354" s="27"/>
      <c r="KZW354" s="27"/>
      <c r="KZX354" s="27"/>
      <c r="KZY354" s="27"/>
      <c r="KZZ354" s="27"/>
      <c r="LAA354" s="27"/>
      <c r="LAB354" s="27"/>
      <c r="LAC354" s="27"/>
      <c r="LAD354" s="27"/>
      <c r="LAE354" s="27"/>
      <c r="LAF354" s="27"/>
      <c r="LAG354" s="27"/>
      <c r="LAH354" s="27"/>
      <c r="LAI354" s="27"/>
      <c r="LAJ354" s="27"/>
      <c r="LAK354" s="27"/>
      <c r="LAL354" s="27"/>
      <c r="LAM354" s="27"/>
      <c r="LAN354" s="27"/>
      <c r="LAO354" s="27"/>
      <c r="LAP354" s="27"/>
      <c r="LAQ354" s="27"/>
      <c r="LAR354" s="27"/>
      <c r="LAS354" s="27"/>
      <c r="LAT354" s="27"/>
      <c r="LAU354" s="27"/>
      <c r="LAV354" s="27"/>
      <c r="LAW354" s="27"/>
      <c r="LAX354" s="27"/>
      <c r="LAY354" s="27"/>
      <c r="LAZ354" s="27"/>
      <c r="LBA354" s="27"/>
      <c r="LBB354" s="27"/>
      <c r="LBC354" s="27"/>
      <c r="LBD354" s="27"/>
      <c r="LBE354" s="27"/>
      <c r="LBF354" s="27"/>
      <c r="LBG354" s="27"/>
      <c r="LBH354" s="27"/>
      <c r="LBI354" s="27"/>
      <c r="LBJ354" s="27"/>
      <c r="LBK354" s="27"/>
      <c r="LBL354" s="27"/>
      <c r="LBM354" s="27"/>
      <c r="LBN354" s="27"/>
      <c r="LBO354" s="27"/>
      <c r="LBP354" s="27"/>
      <c r="LBQ354" s="27"/>
      <c r="LBR354" s="27"/>
      <c r="LBS354" s="27"/>
      <c r="LBT354" s="27"/>
      <c r="LBU354" s="27"/>
      <c r="LBV354" s="27"/>
      <c r="LBW354" s="27"/>
      <c r="LBX354" s="27"/>
      <c r="LBY354" s="27"/>
      <c r="LBZ354" s="27"/>
      <c r="LCA354" s="27"/>
      <c r="LCB354" s="27"/>
      <c r="LCC354" s="27"/>
      <c r="LCD354" s="27"/>
      <c r="LCE354" s="27"/>
      <c r="LCF354" s="27"/>
      <c r="LCG354" s="27"/>
      <c r="LCH354" s="27"/>
      <c r="LCI354" s="27"/>
      <c r="LCJ354" s="27"/>
      <c r="LCK354" s="27"/>
      <c r="LCL354" s="27"/>
      <c r="LCM354" s="27"/>
      <c r="LCN354" s="27"/>
      <c r="LCO354" s="27"/>
      <c r="LCP354" s="27"/>
      <c r="LCQ354" s="27"/>
      <c r="LCR354" s="27"/>
      <c r="LCS354" s="27"/>
      <c r="LCT354" s="27"/>
      <c r="LCU354" s="27"/>
      <c r="LCV354" s="27"/>
      <c r="LCW354" s="27"/>
      <c r="LCX354" s="27"/>
      <c r="LCY354" s="27"/>
      <c r="LCZ354" s="27"/>
      <c r="LDA354" s="27"/>
      <c r="LDB354" s="27"/>
      <c r="LDC354" s="27"/>
      <c r="LDD354" s="27"/>
      <c r="LDE354" s="27"/>
      <c r="LDF354" s="27"/>
      <c r="LDG354" s="27"/>
      <c r="LDH354" s="27"/>
      <c r="LDI354" s="27"/>
      <c r="LDJ354" s="27"/>
      <c r="LDK354" s="27"/>
      <c r="LDL354" s="27"/>
      <c r="LDM354" s="27"/>
      <c r="LDN354" s="27"/>
      <c r="LDO354" s="27"/>
      <c r="LDP354" s="27"/>
      <c r="LDQ354" s="27"/>
      <c r="LDR354" s="27"/>
      <c r="LDS354" s="27"/>
      <c r="LDT354" s="27"/>
      <c r="LDU354" s="27"/>
      <c r="LDV354" s="27"/>
      <c r="LDW354" s="27"/>
      <c r="LDX354" s="27"/>
      <c r="LDY354" s="27"/>
      <c r="LDZ354" s="27"/>
      <c r="LEA354" s="27"/>
      <c r="LEB354" s="27"/>
      <c r="LEC354" s="27"/>
      <c r="LED354" s="27"/>
      <c r="LEE354" s="27"/>
      <c r="LEF354" s="27"/>
      <c r="LEG354" s="27"/>
      <c r="LEH354" s="27"/>
      <c r="LEI354" s="27"/>
      <c r="LEJ354" s="27"/>
      <c r="LEK354" s="27"/>
      <c r="LEL354" s="27"/>
      <c r="LEM354" s="27"/>
      <c r="LEN354" s="27"/>
      <c r="LEO354" s="27"/>
      <c r="LEP354" s="27"/>
      <c r="LEQ354" s="27"/>
      <c r="LER354" s="27"/>
      <c r="LES354" s="27"/>
      <c r="LET354" s="27"/>
      <c r="LEU354" s="27"/>
      <c r="LEV354" s="27"/>
      <c r="LEW354" s="27"/>
      <c r="LEX354" s="27"/>
      <c r="LEY354" s="27"/>
      <c r="LEZ354" s="27"/>
      <c r="LFA354" s="27"/>
      <c r="LFB354" s="27"/>
      <c r="LFC354" s="27"/>
      <c r="LFD354" s="27"/>
      <c r="LFE354" s="27"/>
      <c r="LFF354" s="27"/>
      <c r="LFG354" s="27"/>
      <c r="LFH354" s="27"/>
      <c r="LFI354" s="27"/>
      <c r="LFJ354" s="27"/>
      <c r="LFK354" s="27"/>
      <c r="LFL354" s="27"/>
      <c r="LFM354" s="27"/>
      <c r="LFN354" s="27"/>
      <c r="LFO354" s="27"/>
      <c r="LFP354" s="27"/>
      <c r="LFQ354" s="27"/>
      <c r="LFR354" s="27"/>
      <c r="LFS354" s="27"/>
      <c r="LFT354" s="27"/>
      <c r="LFU354" s="27"/>
      <c r="LFV354" s="27"/>
      <c r="LFW354" s="27"/>
      <c r="LFX354" s="27"/>
      <c r="LFY354" s="27"/>
      <c r="LFZ354" s="27"/>
      <c r="LGA354" s="27"/>
      <c r="LGB354" s="27"/>
      <c r="LGC354" s="27"/>
      <c r="LGD354" s="27"/>
      <c r="LGE354" s="27"/>
      <c r="LGF354" s="27"/>
      <c r="LGG354" s="27"/>
      <c r="LGH354" s="27"/>
      <c r="LGI354" s="27"/>
      <c r="LGJ354" s="27"/>
      <c r="LGK354" s="27"/>
      <c r="LGL354" s="27"/>
      <c r="LGM354" s="27"/>
      <c r="LGN354" s="27"/>
      <c r="LGO354" s="27"/>
      <c r="LGP354" s="27"/>
      <c r="LGQ354" s="27"/>
      <c r="LGR354" s="27"/>
      <c r="LGS354" s="27"/>
      <c r="LGT354" s="27"/>
      <c r="LGU354" s="27"/>
      <c r="LGV354" s="27"/>
      <c r="LGW354" s="27"/>
      <c r="LGX354" s="27"/>
      <c r="LGY354" s="27"/>
      <c r="LGZ354" s="27"/>
      <c r="LHA354" s="27"/>
      <c r="LHB354" s="27"/>
      <c r="LHC354" s="27"/>
      <c r="LHD354" s="27"/>
      <c r="LHE354" s="27"/>
      <c r="LHF354" s="27"/>
      <c r="LHG354" s="27"/>
      <c r="LHH354" s="27"/>
      <c r="LHI354" s="27"/>
      <c r="LHJ354" s="27"/>
      <c r="LHK354" s="27"/>
      <c r="LHL354" s="27"/>
      <c r="LHM354" s="27"/>
      <c r="LHN354" s="27"/>
      <c r="LHO354" s="27"/>
      <c r="LHP354" s="27"/>
      <c r="LHQ354" s="27"/>
      <c r="LHR354" s="27"/>
      <c r="LHS354" s="27"/>
      <c r="LHT354" s="27"/>
      <c r="LHU354" s="27"/>
      <c r="LHV354" s="27"/>
      <c r="LHW354" s="27"/>
      <c r="LHX354" s="27"/>
      <c r="LHY354" s="27"/>
      <c r="LHZ354" s="27"/>
      <c r="LIA354" s="27"/>
      <c r="LIB354" s="27"/>
      <c r="LIC354" s="27"/>
      <c r="LID354" s="27"/>
      <c r="LIE354" s="27"/>
      <c r="LIF354" s="27"/>
      <c r="LIG354" s="27"/>
      <c r="LIH354" s="27"/>
      <c r="LII354" s="27"/>
      <c r="LIJ354" s="27"/>
      <c r="LIK354" s="27"/>
      <c r="LIL354" s="27"/>
      <c r="LIM354" s="27"/>
      <c r="LIN354" s="27"/>
      <c r="LIO354" s="27"/>
      <c r="LIP354" s="27"/>
      <c r="LIQ354" s="27"/>
      <c r="LIR354" s="27"/>
      <c r="LIS354" s="27"/>
      <c r="LIT354" s="27"/>
      <c r="LIU354" s="27"/>
      <c r="LIV354" s="27"/>
      <c r="LIW354" s="27"/>
      <c r="LIX354" s="27"/>
      <c r="LIY354" s="27"/>
      <c r="LIZ354" s="27"/>
      <c r="LJA354" s="27"/>
      <c r="LJB354" s="27"/>
      <c r="LJC354" s="27"/>
      <c r="LJD354" s="27"/>
      <c r="LJE354" s="27"/>
      <c r="LJF354" s="27"/>
      <c r="LJG354" s="27"/>
      <c r="LJH354" s="27"/>
      <c r="LJI354" s="27"/>
      <c r="LJJ354" s="27"/>
      <c r="LJK354" s="27"/>
      <c r="LJL354" s="27"/>
      <c r="LJM354" s="27"/>
      <c r="LJN354" s="27"/>
      <c r="LJO354" s="27"/>
      <c r="LJP354" s="27"/>
      <c r="LJQ354" s="27"/>
      <c r="LJR354" s="27"/>
      <c r="LJS354" s="27"/>
      <c r="LJT354" s="27"/>
      <c r="LJU354" s="27"/>
      <c r="LJV354" s="27"/>
      <c r="LJW354" s="27"/>
      <c r="LJX354" s="27"/>
      <c r="LJY354" s="27"/>
      <c r="LJZ354" s="27"/>
      <c r="LKA354" s="27"/>
      <c r="LKB354" s="27"/>
      <c r="LKC354" s="27"/>
      <c r="LKD354" s="27"/>
      <c r="LKE354" s="27"/>
      <c r="LKF354" s="27"/>
      <c r="LKG354" s="27"/>
      <c r="LKH354" s="27"/>
      <c r="LKI354" s="27"/>
      <c r="LKJ354" s="27"/>
      <c r="LKK354" s="27"/>
      <c r="LKL354" s="27"/>
      <c r="LKM354" s="27"/>
      <c r="LKN354" s="27"/>
      <c r="LKO354" s="27"/>
      <c r="LKP354" s="27"/>
      <c r="LKQ354" s="27"/>
      <c r="LKR354" s="27"/>
      <c r="LKS354" s="27"/>
      <c r="LKT354" s="27"/>
      <c r="LKU354" s="27"/>
      <c r="LKV354" s="27"/>
      <c r="LKW354" s="27"/>
      <c r="LKX354" s="27"/>
      <c r="LKY354" s="27"/>
      <c r="LKZ354" s="27"/>
      <c r="LLA354" s="27"/>
      <c r="LLB354" s="27"/>
      <c r="LLC354" s="27"/>
      <c r="LLD354" s="27"/>
      <c r="LLE354" s="27"/>
      <c r="LLF354" s="27"/>
      <c r="LLG354" s="27"/>
      <c r="LLH354" s="27"/>
      <c r="LLI354" s="27"/>
      <c r="LLJ354" s="27"/>
      <c r="LLK354" s="27"/>
      <c r="LLL354" s="27"/>
      <c r="LLM354" s="27"/>
      <c r="LLN354" s="27"/>
      <c r="LLO354" s="27"/>
      <c r="LLP354" s="27"/>
      <c r="LLQ354" s="27"/>
      <c r="LLR354" s="27"/>
      <c r="LLS354" s="27"/>
      <c r="LLT354" s="27"/>
      <c r="LLU354" s="27"/>
      <c r="LLV354" s="27"/>
      <c r="LLW354" s="27"/>
      <c r="LLX354" s="27"/>
      <c r="LLY354" s="27"/>
      <c r="LLZ354" s="27"/>
      <c r="LMA354" s="27"/>
      <c r="LMB354" s="27"/>
      <c r="LMC354" s="27"/>
      <c r="LMD354" s="27"/>
      <c r="LME354" s="27"/>
      <c r="LMF354" s="27"/>
      <c r="LMG354" s="27"/>
      <c r="LMH354" s="27"/>
      <c r="LMI354" s="27"/>
      <c r="LMJ354" s="27"/>
      <c r="LMK354" s="27"/>
      <c r="LML354" s="27"/>
      <c r="LMM354" s="27"/>
      <c r="LMN354" s="27"/>
      <c r="LMO354" s="27"/>
      <c r="LMP354" s="27"/>
      <c r="LMQ354" s="27"/>
      <c r="LMR354" s="27"/>
      <c r="LMS354" s="27"/>
      <c r="LMT354" s="27"/>
      <c r="LMU354" s="27"/>
      <c r="LMV354" s="27"/>
      <c r="LMW354" s="27"/>
      <c r="LMX354" s="27"/>
      <c r="LMY354" s="27"/>
      <c r="LMZ354" s="27"/>
      <c r="LNA354" s="27"/>
      <c r="LNB354" s="27"/>
      <c r="LNC354" s="27"/>
      <c r="LND354" s="27"/>
      <c r="LNE354" s="27"/>
      <c r="LNF354" s="27"/>
      <c r="LNG354" s="27"/>
      <c r="LNH354" s="27"/>
      <c r="LNI354" s="27"/>
      <c r="LNJ354" s="27"/>
      <c r="LNK354" s="27"/>
      <c r="LNL354" s="27"/>
      <c r="LNM354" s="27"/>
      <c r="LNN354" s="27"/>
      <c r="LNO354" s="27"/>
      <c r="LNP354" s="27"/>
      <c r="LNQ354" s="27"/>
      <c r="LNR354" s="27"/>
      <c r="LNS354" s="27"/>
      <c r="LNT354" s="27"/>
      <c r="LNU354" s="27"/>
      <c r="LNV354" s="27"/>
      <c r="LNW354" s="27"/>
      <c r="LNX354" s="27"/>
      <c r="LNY354" s="27"/>
      <c r="LNZ354" s="27"/>
      <c r="LOA354" s="27"/>
      <c r="LOB354" s="27"/>
      <c r="LOC354" s="27"/>
      <c r="LOD354" s="27"/>
      <c r="LOE354" s="27"/>
      <c r="LOF354" s="27"/>
      <c r="LOG354" s="27"/>
      <c r="LOH354" s="27"/>
      <c r="LOI354" s="27"/>
      <c r="LOJ354" s="27"/>
      <c r="LOK354" s="27"/>
      <c r="LOL354" s="27"/>
      <c r="LOM354" s="27"/>
      <c r="LON354" s="27"/>
      <c r="LOO354" s="27"/>
      <c r="LOP354" s="27"/>
      <c r="LOQ354" s="27"/>
      <c r="LOR354" s="27"/>
      <c r="LOS354" s="27"/>
      <c r="LOT354" s="27"/>
      <c r="LOU354" s="27"/>
      <c r="LOV354" s="27"/>
      <c r="LOW354" s="27"/>
      <c r="LOX354" s="27"/>
      <c r="LOY354" s="27"/>
      <c r="LOZ354" s="27"/>
      <c r="LPA354" s="27"/>
      <c r="LPB354" s="27"/>
      <c r="LPC354" s="27"/>
      <c r="LPD354" s="27"/>
      <c r="LPE354" s="27"/>
      <c r="LPF354" s="27"/>
      <c r="LPG354" s="27"/>
      <c r="LPH354" s="27"/>
      <c r="LPI354" s="27"/>
      <c r="LPJ354" s="27"/>
      <c r="LPK354" s="27"/>
      <c r="LPL354" s="27"/>
      <c r="LPM354" s="27"/>
      <c r="LPN354" s="27"/>
      <c r="LPO354" s="27"/>
      <c r="LPP354" s="27"/>
      <c r="LPQ354" s="27"/>
      <c r="LPR354" s="27"/>
      <c r="LPS354" s="27"/>
      <c r="LPT354" s="27"/>
      <c r="LPU354" s="27"/>
      <c r="LPV354" s="27"/>
      <c r="LPW354" s="27"/>
      <c r="LPX354" s="27"/>
      <c r="LPY354" s="27"/>
      <c r="LPZ354" s="27"/>
      <c r="LQA354" s="27"/>
      <c r="LQB354" s="27"/>
      <c r="LQC354" s="27"/>
      <c r="LQD354" s="27"/>
      <c r="LQE354" s="27"/>
      <c r="LQF354" s="27"/>
      <c r="LQG354" s="27"/>
      <c r="LQH354" s="27"/>
      <c r="LQI354" s="27"/>
      <c r="LQJ354" s="27"/>
      <c r="LQK354" s="27"/>
      <c r="LQL354" s="27"/>
      <c r="LQM354" s="27"/>
      <c r="LQN354" s="27"/>
      <c r="LQO354" s="27"/>
      <c r="LQP354" s="27"/>
      <c r="LQQ354" s="27"/>
      <c r="LQR354" s="27"/>
      <c r="LQS354" s="27"/>
      <c r="LQT354" s="27"/>
      <c r="LQU354" s="27"/>
      <c r="LQV354" s="27"/>
      <c r="LQW354" s="27"/>
      <c r="LQX354" s="27"/>
      <c r="LQY354" s="27"/>
      <c r="LQZ354" s="27"/>
      <c r="LRA354" s="27"/>
      <c r="LRB354" s="27"/>
      <c r="LRC354" s="27"/>
      <c r="LRD354" s="27"/>
      <c r="LRE354" s="27"/>
      <c r="LRF354" s="27"/>
      <c r="LRG354" s="27"/>
      <c r="LRH354" s="27"/>
      <c r="LRI354" s="27"/>
      <c r="LRJ354" s="27"/>
      <c r="LRK354" s="27"/>
      <c r="LRL354" s="27"/>
      <c r="LRM354" s="27"/>
      <c r="LRN354" s="27"/>
      <c r="LRO354" s="27"/>
      <c r="LRP354" s="27"/>
      <c r="LRQ354" s="27"/>
      <c r="LRR354" s="27"/>
      <c r="LRS354" s="27"/>
      <c r="LRT354" s="27"/>
      <c r="LRU354" s="27"/>
      <c r="LRV354" s="27"/>
      <c r="LRW354" s="27"/>
      <c r="LRX354" s="27"/>
      <c r="LRY354" s="27"/>
      <c r="LRZ354" s="27"/>
      <c r="LSA354" s="27"/>
      <c r="LSB354" s="27"/>
      <c r="LSC354" s="27"/>
      <c r="LSD354" s="27"/>
      <c r="LSE354" s="27"/>
      <c r="LSF354" s="27"/>
      <c r="LSG354" s="27"/>
      <c r="LSH354" s="27"/>
      <c r="LSI354" s="27"/>
      <c r="LSJ354" s="27"/>
      <c r="LSK354" s="27"/>
      <c r="LSL354" s="27"/>
      <c r="LSM354" s="27"/>
      <c r="LSN354" s="27"/>
      <c r="LSO354" s="27"/>
      <c r="LSP354" s="27"/>
      <c r="LSQ354" s="27"/>
      <c r="LSR354" s="27"/>
      <c r="LSS354" s="27"/>
      <c r="LST354" s="27"/>
      <c r="LSU354" s="27"/>
      <c r="LSV354" s="27"/>
      <c r="LSW354" s="27"/>
      <c r="LSX354" s="27"/>
      <c r="LSY354" s="27"/>
      <c r="LSZ354" s="27"/>
      <c r="LTA354" s="27"/>
      <c r="LTB354" s="27"/>
      <c r="LTC354" s="27"/>
      <c r="LTD354" s="27"/>
      <c r="LTE354" s="27"/>
      <c r="LTF354" s="27"/>
      <c r="LTG354" s="27"/>
      <c r="LTH354" s="27"/>
      <c r="LTI354" s="27"/>
      <c r="LTJ354" s="27"/>
      <c r="LTK354" s="27"/>
      <c r="LTL354" s="27"/>
      <c r="LTM354" s="27"/>
      <c r="LTN354" s="27"/>
      <c r="LTO354" s="27"/>
      <c r="LTP354" s="27"/>
      <c r="LTQ354" s="27"/>
      <c r="LTR354" s="27"/>
      <c r="LTS354" s="27"/>
      <c r="LTT354" s="27"/>
      <c r="LTU354" s="27"/>
      <c r="LTV354" s="27"/>
      <c r="LTW354" s="27"/>
      <c r="LTX354" s="27"/>
      <c r="LTY354" s="27"/>
      <c r="LTZ354" s="27"/>
      <c r="LUA354" s="27"/>
      <c r="LUB354" s="27"/>
      <c r="LUC354" s="27"/>
      <c r="LUD354" s="27"/>
      <c r="LUE354" s="27"/>
      <c r="LUF354" s="27"/>
      <c r="LUG354" s="27"/>
      <c r="LUH354" s="27"/>
      <c r="LUI354" s="27"/>
      <c r="LUJ354" s="27"/>
      <c r="LUK354" s="27"/>
      <c r="LUL354" s="27"/>
      <c r="LUM354" s="27"/>
      <c r="LUN354" s="27"/>
      <c r="LUO354" s="27"/>
      <c r="LUP354" s="27"/>
      <c r="LUQ354" s="27"/>
      <c r="LUR354" s="27"/>
      <c r="LUS354" s="27"/>
      <c r="LUT354" s="27"/>
      <c r="LUU354" s="27"/>
      <c r="LUV354" s="27"/>
      <c r="LUW354" s="27"/>
      <c r="LUX354" s="27"/>
      <c r="LUY354" s="27"/>
      <c r="LUZ354" s="27"/>
      <c r="LVA354" s="27"/>
      <c r="LVB354" s="27"/>
      <c r="LVC354" s="27"/>
      <c r="LVD354" s="27"/>
      <c r="LVE354" s="27"/>
      <c r="LVF354" s="27"/>
      <c r="LVG354" s="27"/>
      <c r="LVH354" s="27"/>
      <c r="LVI354" s="27"/>
      <c r="LVJ354" s="27"/>
      <c r="LVK354" s="27"/>
      <c r="LVL354" s="27"/>
      <c r="LVM354" s="27"/>
      <c r="LVN354" s="27"/>
      <c r="LVO354" s="27"/>
      <c r="LVP354" s="27"/>
      <c r="LVQ354" s="27"/>
      <c r="LVR354" s="27"/>
      <c r="LVS354" s="27"/>
      <c r="LVT354" s="27"/>
      <c r="LVU354" s="27"/>
      <c r="LVV354" s="27"/>
      <c r="LVW354" s="27"/>
      <c r="LVX354" s="27"/>
      <c r="LVY354" s="27"/>
      <c r="LVZ354" s="27"/>
      <c r="LWA354" s="27"/>
      <c r="LWB354" s="27"/>
      <c r="LWC354" s="27"/>
      <c r="LWD354" s="27"/>
      <c r="LWE354" s="27"/>
      <c r="LWF354" s="27"/>
      <c r="LWG354" s="27"/>
      <c r="LWH354" s="27"/>
      <c r="LWI354" s="27"/>
      <c r="LWJ354" s="27"/>
      <c r="LWK354" s="27"/>
      <c r="LWL354" s="27"/>
      <c r="LWM354" s="27"/>
      <c r="LWN354" s="27"/>
      <c r="LWO354" s="27"/>
      <c r="LWP354" s="27"/>
      <c r="LWQ354" s="27"/>
      <c r="LWR354" s="27"/>
      <c r="LWS354" s="27"/>
      <c r="LWT354" s="27"/>
      <c r="LWU354" s="27"/>
      <c r="LWV354" s="27"/>
      <c r="LWW354" s="27"/>
      <c r="LWX354" s="27"/>
      <c r="LWY354" s="27"/>
      <c r="LWZ354" s="27"/>
      <c r="LXA354" s="27"/>
      <c r="LXB354" s="27"/>
      <c r="LXC354" s="27"/>
      <c r="LXD354" s="27"/>
      <c r="LXE354" s="27"/>
      <c r="LXF354" s="27"/>
      <c r="LXG354" s="27"/>
      <c r="LXH354" s="27"/>
      <c r="LXI354" s="27"/>
      <c r="LXJ354" s="27"/>
      <c r="LXK354" s="27"/>
      <c r="LXL354" s="27"/>
      <c r="LXM354" s="27"/>
      <c r="LXN354" s="27"/>
      <c r="LXO354" s="27"/>
      <c r="LXP354" s="27"/>
      <c r="LXQ354" s="27"/>
      <c r="LXR354" s="27"/>
      <c r="LXS354" s="27"/>
      <c r="LXT354" s="27"/>
      <c r="LXU354" s="27"/>
      <c r="LXV354" s="27"/>
      <c r="LXW354" s="27"/>
      <c r="LXX354" s="27"/>
      <c r="LXY354" s="27"/>
      <c r="LXZ354" s="27"/>
      <c r="LYA354" s="27"/>
      <c r="LYB354" s="27"/>
      <c r="LYC354" s="27"/>
      <c r="LYD354" s="27"/>
      <c r="LYE354" s="27"/>
      <c r="LYF354" s="27"/>
      <c r="LYG354" s="27"/>
      <c r="LYH354" s="27"/>
      <c r="LYI354" s="27"/>
      <c r="LYJ354" s="27"/>
      <c r="LYK354" s="27"/>
      <c r="LYL354" s="27"/>
      <c r="LYM354" s="27"/>
      <c r="LYN354" s="27"/>
      <c r="LYO354" s="27"/>
      <c r="LYP354" s="27"/>
      <c r="LYQ354" s="27"/>
      <c r="LYR354" s="27"/>
      <c r="LYS354" s="27"/>
      <c r="LYT354" s="27"/>
      <c r="LYU354" s="27"/>
      <c r="LYV354" s="27"/>
      <c r="LYW354" s="27"/>
      <c r="LYX354" s="27"/>
      <c r="LYY354" s="27"/>
      <c r="LYZ354" s="27"/>
      <c r="LZA354" s="27"/>
      <c r="LZB354" s="27"/>
      <c r="LZC354" s="27"/>
      <c r="LZD354" s="27"/>
      <c r="LZE354" s="27"/>
      <c r="LZF354" s="27"/>
      <c r="LZG354" s="27"/>
      <c r="LZH354" s="27"/>
      <c r="LZI354" s="27"/>
      <c r="LZJ354" s="27"/>
      <c r="LZK354" s="27"/>
      <c r="LZL354" s="27"/>
      <c r="LZM354" s="27"/>
      <c r="LZN354" s="27"/>
      <c r="LZO354" s="27"/>
      <c r="LZP354" s="27"/>
      <c r="LZQ354" s="27"/>
      <c r="LZR354" s="27"/>
      <c r="LZS354" s="27"/>
      <c r="LZT354" s="27"/>
      <c r="LZU354" s="27"/>
      <c r="LZV354" s="27"/>
      <c r="LZW354" s="27"/>
      <c r="LZX354" s="27"/>
      <c r="LZY354" s="27"/>
      <c r="LZZ354" s="27"/>
      <c r="MAA354" s="27"/>
      <c r="MAB354" s="27"/>
      <c r="MAC354" s="27"/>
      <c r="MAD354" s="27"/>
      <c r="MAE354" s="27"/>
      <c r="MAF354" s="27"/>
      <c r="MAG354" s="27"/>
      <c r="MAH354" s="27"/>
      <c r="MAI354" s="27"/>
      <c r="MAJ354" s="27"/>
      <c r="MAK354" s="27"/>
      <c r="MAL354" s="27"/>
      <c r="MAM354" s="27"/>
      <c r="MAN354" s="27"/>
      <c r="MAO354" s="27"/>
      <c r="MAP354" s="27"/>
      <c r="MAQ354" s="27"/>
      <c r="MAR354" s="27"/>
      <c r="MAS354" s="27"/>
      <c r="MAT354" s="27"/>
      <c r="MAU354" s="27"/>
      <c r="MAV354" s="27"/>
      <c r="MAW354" s="27"/>
      <c r="MAX354" s="27"/>
      <c r="MAY354" s="27"/>
      <c r="MAZ354" s="27"/>
      <c r="MBA354" s="27"/>
      <c r="MBB354" s="27"/>
      <c r="MBC354" s="27"/>
      <c r="MBD354" s="27"/>
      <c r="MBE354" s="27"/>
      <c r="MBF354" s="27"/>
      <c r="MBG354" s="27"/>
      <c r="MBH354" s="27"/>
      <c r="MBI354" s="27"/>
      <c r="MBJ354" s="27"/>
      <c r="MBK354" s="27"/>
      <c r="MBL354" s="27"/>
      <c r="MBM354" s="27"/>
      <c r="MBN354" s="27"/>
      <c r="MBO354" s="27"/>
      <c r="MBP354" s="27"/>
      <c r="MBQ354" s="27"/>
      <c r="MBR354" s="27"/>
      <c r="MBS354" s="27"/>
      <c r="MBT354" s="27"/>
      <c r="MBU354" s="27"/>
      <c r="MBV354" s="27"/>
      <c r="MBW354" s="27"/>
      <c r="MBX354" s="27"/>
      <c r="MBY354" s="27"/>
      <c r="MBZ354" s="27"/>
      <c r="MCA354" s="27"/>
      <c r="MCB354" s="27"/>
      <c r="MCC354" s="27"/>
      <c r="MCD354" s="27"/>
      <c r="MCE354" s="27"/>
      <c r="MCF354" s="27"/>
      <c r="MCG354" s="27"/>
      <c r="MCH354" s="27"/>
      <c r="MCI354" s="27"/>
      <c r="MCJ354" s="27"/>
      <c r="MCK354" s="27"/>
      <c r="MCL354" s="27"/>
      <c r="MCM354" s="27"/>
      <c r="MCN354" s="27"/>
      <c r="MCO354" s="27"/>
      <c r="MCP354" s="27"/>
      <c r="MCQ354" s="27"/>
      <c r="MCR354" s="27"/>
      <c r="MCS354" s="27"/>
      <c r="MCT354" s="27"/>
      <c r="MCU354" s="27"/>
      <c r="MCV354" s="27"/>
      <c r="MCW354" s="27"/>
      <c r="MCX354" s="27"/>
      <c r="MCY354" s="27"/>
      <c r="MCZ354" s="27"/>
      <c r="MDA354" s="27"/>
      <c r="MDB354" s="27"/>
      <c r="MDC354" s="27"/>
      <c r="MDD354" s="27"/>
      <c r="MDE354" s="27"/>
      <c r="MDF354" s="27"/>
      <c r="MDG354" s="27"/>
      <c r="MDH354" s="27"/>
      <c r="MDI354" s="27"/>
      <c r="MDJ354" s="27"/>
      <c r="MDK354" s="27"/>
      <c r="MDL354" s="27"/>
      <c r="MDM354" s="27"/>
      <c r="MDN354" s="27"/>
      <c r="MDO354" s="27"/>
      <c r="MDP354" s="27"/>
      <c r="MDQ354" s="27"/>
      <c r="MDR354" s="27"/>
      <c r="MDS354" s="27"/>
      <c r="MDT354" s="27"/>
      <c r="MDU354" s="27"/>
      <c r="MDV354" s="27"/>
      <c r="MDW354" s="27"/>
      <c r="MDX354" s="27"/>
      <c r="MDY354" s="27"/>
      <c r="MDZ354" s="27"/>
      <c r="MEA354" s="27"/>
      <c r="MEB354" s="27"/>
      <c r="MEC354" s="27"/>
      <c r="MED354" s="27"/>
      <c r="MEE354" s="27"/>
      <c r="MEF354" s="27"/>
      <c r="MEG354" s="27"/>
      <c r="MEH354" s="27"/>
      <c r="MEI354" s="27"/>
      <c r="MEJ354" s="27"/>
      <c r="MEK354" s="27"/>
      <c r="MEL354" s="27"/>
      <c r="MEM354" s="27"/>
      <c r="MEN354" s="27"/>
      <c r="MEO354" s="27"/>
      <c r="MEP354" s="27"/>
      <c r="MEQ354" s="27"/>
      <c r="MER354" s="27"/>
      <c r="MES354" s="27"/>
      <c r="MET354" s="27"/>
      <c r="MEU354" s="27"/>
      <c r="MEV354" s="27"/>
      <c r="MEW354" s="27"/>
      <c r="MEX354" s="27"/>
      <c r="MEY354" s="27"/>
      <c r="MEZ354" s="27"/>
      <c r="MFA354" s="27"/>
      <c r="MFB354" s="27"/>
      <c r="MFC354" s="27"/>
      <c r="MFD354" s="27"/>
      <c r="MFE354" s="27"/>
      <c r="MFF354" s="27"/>
      <c r="MFG354" s="27"/>
      <c r="MFH354" s="27"/>
      <c r="MFI354" s="27"/>
      <c r="MFJ354" s="27"/>
      <c r="MFK354" s="27"/>
      <c r="MFL354" s="27"/>
      <c r="MFM354" s="27"/>
      <c r="MFN354" s="27"/>
      <c r="MFO354" s="27"/>
      <c r="MFP354" s="27"/>
      <c r="MFQ354" s="27"/>
      <c r="MFR354" s="27"/>
      <c r="MFS354" s="27"/>
      <c r="MFT354" s="27"/>
      <c r="MFU354" s="27"/>
      <c r="MFV354" s="27"/>
      <c r="MFW354" s="27"/>
      <c r="MFX354" s="27"/>
      <c r="MFY354" s="27"/>
      <c r="MFZ354" s="27"/>
      <c r="MGA354" s="27"/>
      <c r="MGB354" s="27"/>
      <c r="MGC354" s="27"/>
      <c r="MGD354" s="27"/>
      <c r="MGE354" s="27"/>
      <c r="MGF354" s="27"/>
      <c r="MGG354" s="27"/>
      <c r="MGH354" s="27"/>
      <c r="MGI354" s="27"/>
      <c r="MGJ354" s="27"/>
      <c r="MGK354" s="27"/>
      <c r="MGL354" s="27"/>
      <c r="MGM354" s="27"/>
      <c r="MGN354" s="27"/>
      <c r="MGO354" s="27"/>
      <c r="MGP354" s="27"/>
      <c r="MGQ354" s="27"/>
      <c r="MGR354" s="27"/>
      <c r="MGS354" s="27"/>
      <c r="MGT354" s="27"/>
      <c r="MGU354" s="27"/>
      <c r="MGV354" s="27"/>
      <c r="MGW354" s="27"/>
      <c r="MGX354" s="27"/>
      <c r="MGY354" s="27"/>
      <c r="MGZ354" s="27"/>
      <c r="MHA354" s="27"/>
      <c r="MHB354" s="27"/>
      <c r="MHC354" s="27"/>
      <c r="MHD354" s="27"/>
      <c r="MHE354" s="27"/>
      <c r="MHF354" s="27"/>
      <c r="MHG354" s="27"/>
      <c r="MHH354" s="27"/>
      <c r="MHI354" s="27"/>
      <c r="MHJ354" s="27"/>
      <c r="MHK354" s="27"/>
      <c r="MHL354" s="27"/>
      <c r="MHM354" s="27"/>
      <c r="MHN354" s="27"/>
      <c r="MHO354" s="27"/>
      <c r="MHP354" s="27"/>
      <c r="MHQ354" s="27"/>
      <c r="MHR354" s="27"/>
      <c r="MHS354" s="27"/>
      <c r="MHT354" s="27"/>
      <c r="MHU354" s="27"/>
      <c r="MHV354" s="27"/>
      <c r="MHW354" s="27"/>
      <c r="MHX354" s="27"/>
      <c r="MHY354" s="27"/>
      <c r="MHZ354" s="27"/>
      <c r="MIA354" s="27"/>
      <c r="MIB354" s="27"/>
      <c r="MIC354" s="27"/>
      <c r="MID354" s="27"/>
      <c r="MIE354" s="27"/>
      <c r="MIF354" s="27"/>
      <c r="MIG354" s="27"/>
      <c r="MIH354" s="27"/>
      <c r="MII354" s="27"/>
      <c r="MIJ354" s="27"/>
      <c r="MIK354" s="27"/>
      <c r="MIL354" s="27"/>
      <c r="MIM354" s="27"/>
      <c r="MIN354" s="27"/>
      <c r="MIO354" s="27"/>
      <c r="MIP354" s="27"/>
      <c r="MIQ354" s="27"/>
      <c r="MIR354" s="27"/>
      <c r="MIS354" s="27"/>
      <c r="MIT354" s="27"/>
      <c r="MIU354" s="27"/>
      <c r="MIV354" s="27"/>
      <c r="MIW354" s="27"/>
      <c r="MIX354" s="27"/>
      <c r="MIY354" s="27"/>
      <c r="MIZ354" s="27"/>
      <c r="MJA354" s="27"/>
      <c r="MJB354" s="27"/>
      <c r="MJC354" s="27"/>
      <c r="MJD354" s="27"/>
      <c r="MJE354" s="27"/>
      <c r="MJF354" s="27"/>
      <c r="MJG354" s="27"/>
      <c r="MJH354" s="27"/>
      <c r="MJI354" s="27"/>
      <c r="MJJ354" s="27"/>
      <c r="MJK354" s="27"/>
      <c r="MJL354" s="27"/>
      <c r="MJM354" s="27"/>
      <c r="MJN354" s="27"/>
      <c r="MJO354" s="27"/>
      <c r="MJP354" s="27"/>
      <c r="MJQ354" s="27"/>
      <c r="MJR354" s="27"/>
      <c r="MJS354" s="27"/>
      <c r="MJT354" s="27"/>
      <c r="MJU354" s="27"/>
      <c r="MJV354" s="27"/>
      <c r="MJW354" s="27"/>
      <c r="MJX354" s="27"/>
      <c r="MJY354" s="27"/>
      <c r="MJZ354" s="27"/>
      <c r="MKA354" s="27"/>
      <c r="MKB354" s="27"/>
      <c r="MKC354" s="27"/>
      <c r="MKD354" s="27"/>
      <c r="MKE354" s="27"/>
      <c r="MKF354" s="27"/>
      <c r="MKG354" s="27"/>
      <c r="MKH354" s="27"/>
      <c r="MKI354" s="27"/>
      <c r="MKJ354" s="27"/>
      <c r="MKK354" s="27"/>
      <c r="MKL354" s="27"/>
      <c r="MKM354" s="27"/>
      <c r="MKN354" s="27"/>
      <c r="MKO354" s="27"/>
      <c r="MKP354" s="27"/>
      <c r="MKQ354" s="27"/>
      <c r="MKR354" s="27"/>
      <c r="MKS354" s="27"/>
      <c r="MKT354" s="27"/>
      <c r="MKU354" s="27"/>
      <c r="MKV354" s="27"/>
      <c r="MKW354" s="27"/>
      <c r="MKX354" s="27"/>
      <c r="MKY354" s="27"/>
      <c r="MKZ354" s="27"/>
      <c r="MLA354" s="27"/>
      <c r="MLB354" s="27"/>
      <c r="MLC354" s="27"/>
      <c r="MLD354" s="27"/>
      <c r="MLE354" s="27"/>
      <c r="MLF354" s="27"/>
      <c r="MLG354" s="27"/>
      <c r="MLH354" s="27"/>
      <c r="MLI354" s="27"/>
      <c r="MLJ354" s="27"/>
      <c r="MLK354" s="27"/>
      <c r="MLL354" s="27"/>
      <c r="MLM354" s="27"/>
      <c r="MLN354" s="27"/>
      <c r="MLO354" s="27"/>
      <c r="MLP354" s="27"/>
      <c r="MLQ354" s="27"/>
      <c r="MLR354" s="27"/>
      <c r="MLS354" s="27"/>
      <c r="MLT354" s="27"/>
      <c r="MLU354" s="27"/>
      <c r="MLV354" s="27"/>
      <c r="MLW354" s="27"/>
      <c r="MLX354" s="27"/>
      <c r="MLY354" s="27"/>
      <c r="MLZ354" s="27"/>
      <c r="MMA354" s="27"/>
      <c r="MMB354" s="27"/>
      <c r="MMC354" s="27"/>
      <c r="MMD354" s="27"/>
      <c r="MME354" s="27"/>
      <c r="MMF354" s="27"/>
      <c r="MMG354" s="27"/>
      <c r="MMH354" s="27"/>
      <c r="MMI354" s="27"/>
      <c r="MMJ354" s="27"/>
      <c r="MMK354" s="27"/>
      <c r="MML354" s="27"/>
      <c r="MMM354" s="27"/>
      <c r="MMN354" s="27"/>
      <c r="MMO354" s="27"/>
      <c r="MMP354" s="27"/>
      <c r="MMQ354" s="27"/>
      <c r="MMR354" s="27"/>
      <c r="MMS354" s="27"/>
      <c r="MMT354" s="27"/>
      <c r="MMU354" s="27"/>
      <c r="MMV354" s="27"/>
      <c r="MMW354" s="27"/>
      <c r="MMX354" s="27"/>
      <c r="MMY354" s="27"/>
      <c r="MMZ354" s="27"/>
      <c r="MNA354" s="27"/>
      <c r="MNB354" s="27"/>
      <c r="MNC354" s="27"/>
      <c r="MND354" s="27"/>
      <c r="MNE354" s="27"/>
      <c r="MNF354" s="27"/>
      <c r="MNG354" s="27"/>
      <c r="MNH354" s="27"/>
      <c r="MNI354" s="27"/>
      <c r="MNJ354" s="27"/>
      <c r="MNK354" s="27"/>
      <c r="MNL354" s="27"/>
      <c r="MNM354" s="27"/>
      <c r="MNN354" s="27"/>
      <c r="MNO354" s="27"/>
      <c r="MNP354" s="27"/>
      <c r="MNQ354" s="27"/>
      <c r="MNR354" s="27"/>
      <c r="MNS354" s="27"/>
      <c r="MNT354" s="27"/>
      <c r="MNU354" s="27"/>
      <c r="MNV354" s="27"/>
      <c r="MNW354" s="27"/>
      <c r="MNX354" s="27"/>
      <c r="MNY354" s="27"/>
      <c r="MNZ354" s="27"/>
      <c r="MOA354" s="27"/>
      <c r="MOB354" s="27"/>
      <c r="MOC354" s="27"/>
      <c r="MOD354" s="27"/>
      <c r="MOE354" s="27"/>
      <c r="MOF354" s="27"/>
      <c r="MOG354" s="27"/>
      <c r="MOH354" s="27"/>
      <c r="MOI354" s="27"/>
      <c r="MOJ354" s="27"/>
      <c r="MOK354" s="27"/>
      <c r="MOL354" s="27"/>
      <c r="MOM354" s="27"/>
      <c r="MON354" s="27"/>
      <c r="MOO354" s="27"/>
      <c r="MOP354" s="27"/>
      <c r="MOQ354" s="27"/>
      <c r="MOR354" s="27"/>
      <c r="MOS354" s="27"/>
      <c r="MOT354" s="27"/>
      <c r="MOU354" s="27"/>
      <c r="MOV354" s="27"/>
      <c r="MOW354" s="27"/>
      <c r="MOX354" s="27"/>
      <c r="MOY354" s="27"/>
      <c r="MOZ354" s="27"/>
      <c r="MPA354" s="27"/>
      <c r="MPB354" s="27"/>
      <c r="MPC354" s="27"/>
      <c r="MPD354" s="27"/>
      <c r="MPE354" s="27"/>
      <c r="MPF354" s="27"/>
      <c r="MPG354" s="27"/>
      <c r="MPH354" s="27"/>
      <c r="MPI354" s="27"/>
      <c r="MPJ354" s="27"/>
      <c r="MPK354" s="27"/>
      <c r="MPL354" s="27"/>
      <c r="MPM354" s="27"/>
      <c r="MPN354" s="27"/>
      <c r="MPO354" s="27"/>
      <c r="MPP354" s="27"/>
      <c r="MPQ354" s="27"/>
      <c r="MPR354" s="27"/>
      <c r="MPS354" s="27"/>
      <c r="MPT354" s="27"/>
      <c r="MPU354" s="27"/>
      <c r="MPV354" s="27"/>
      <c r="MPW354" s="27"/>
      <c r="MPX354" s="27"/>
      <c r="MPY354" s="27"/>
      <c r="MPZ354" s="27"/>
      <c r="MQA354" s="27"/>
      <c r="MQB354" s="27"/>
      <c r="MQC354" s="27"/>
      <c r="MQD354" s="27"/>
      <c r="MQE354" s="27"/>
      <c r="MQF354" s="27"/>
      <c r="MQG354" s="27"/>
      <c r="MQH354" s="27"/>
      <c r="MQI354" s="27"/>
      <c r="MQJ354" s="27"/>
      <c r="MQK354" s="27"/>
      <c r="MQL354" s="27"/>
      <c r="MQM354" s="27"/>
      <c r="MQN354" s="27"/>
      <c r="MQO354" s="27"/>
      <c r="MQP354" s="27"/>
      <c r="MQQ354" s="27"/>
      <c r="MQR354" s="27"/>
      <c r="MQS354" s="27"/>
      <c r="MQT354" s="27"/>
      <c r="MQU354" s="27"/>
      <c r="MQV354" s="27"/>
      <c r="MQW354" s="27"/>
      <c r="MQX354" s="27"/>
      <c r="MQY354" s="27"/>
      <c r="MQZ354" s="27"/>
      <c r="MRA354" s="27"/>
      <c r="MRB354" s="27"/>
      <c r="MRC354" s="27"/>
      <c r="MRD354" s="27"/>
      <c r="MRE354" s="27"/>
      <c r="MRF354" s="27"/>
      <c r="MRG354" s="27"/>
      <c r="MRH354" s="27"/>
      <c r="MRI354" s="27"/>
      <c r="MRJ354" s="27"/>
      <c r="MRK354" s="27"/>
      <c r="MRL354" s="27"/>
      <c r="MRM354" s="27"/>
      <c r="MRN354" s="27"/>
      <c r="MRO354" s="27"/>
      <c r="MRP354" s="27"/>
      <c r="MRQ354" s="27"/>
      <c r="MRR354" s="27"/>
      <c r="MRS354" s="27"/>
      <c r="MRT354" s="27"/>
      <c r="MRU354" s="27"/>
      <c r="MRV354" s="27"/>
      <c r="MRW354" s="27"/>
      <c r="MRX354" s="27"/>
      <c r="MRY354" s="27"/>
      <c r="MRZ354" s="27"/>
      <c r="MSA354" s="27"/>
      <c r="MSB354" s="27"/>
      <c r="MSC354" s="27"/>
      <c r="MSD354" s="27"/>
      <c r="MSE354" s="27"/>
      <c r="MSF354" s="27"/>
      <c r="MSG354" s="27"/>
      <c r="MSH354" s="27"/>
      <c r="MSI354" s="27"/>
      <c r="MSJ354" s="27"/>
      <c r="MSK354" s="27"/>
      <c r="MSL354" s="27"/>
      <c r="MSM354" s="27"/>
      <c r="MSN354" s="27"/>
      <c r="MSO354" s="27"/>
      <c r="MSP354" s="27"/>
      <c r="MSQ354" s="27"/>
      <c r="MSR354" s="27"/>
      <c r="MSS354" s="27"/>
      <c r="MST354" s="27"/>
      <c r="MSU354" s="27"/>
      <c r="MSV354" s="27"/>
      <c r="MSW354" s="27"/>
      <c r="MSX354" s="27"/>
      <c r="MSY354" s="27"/>
      <c r="MSZ354" s="27"/>
      <c r="MTA354" s="27"/>
      <c r="MTB354" s="27"/>
      <c r="MTC354" s="27"/>
      <c r="MTD354" s="27"/>
      <c r="MTE354" s="27"/>
      <c r="MTF354" s="27"/>
      <c r="MTG354" s="27"/>
      <c r="MTH354" s="27"/>
      <c r="MTI354" s="27"/>
      <c r="MTJ354" s="27"/>
      <c r="MTK354" s="27"/>
      <c r="MTL354" s="27"/>
      <c r="MTM354" s="27"/>
      <c r="MTN354" s="27"/>
      <c r="MTO354" s="27"/>
      <c r="MTP354" s="27"/>
      <c r="MTQ354" s="27"/>
      <c r="MTR354" s="27"/>
      <c r="MTS354" s="27"/>
      <c r="MTT354" s="27"/>
      <c r="MTU354" s="27"/>
      <c r="MTV354" s="27"/>
      <c r="MTW354" s="27"/>
      <c r="MTX354" s="27"/>
      <c r="MTY354" s="27"/>
      <c r="MTZ354" s="27"/>
      <c r="MUA354" s="27"/>
      <c r="MUB354" s="27"/>
      <c r="MUC354" s="27"/>
      <c r="MUD354" s="27"/>
      <c r="MUE354" s="27"/>
      <c r="MUF354" s="27"/>
      <c r="MUG354" s="27"/>
      <c r="MUH354" s="27"/>
      <c r="MUI354" s="27"/>
      <c r="MUJ354" s="27"/>
      <c r="MUK354" s="27"/>
      <c r="MUL354" s="27"/>
      <c r="MUM354" s="27"/>
      <c r="MUN354" s="27"/>
      <c r="MUO354" s="27"/>
      <c r="MUP354" s="27"/>
      <c r="MUQ354" s="27"/>
      <c r="MUR354" s="27"/>
      <c r="MUS354" s="27"/>
      <c r="MUT354" s="27"/>
      <c r="MUU354" s="27"/>
      <c r="MUV354" s="27"/>
      <c r="MUW354" s="27"/>
      <c r="MUX354" s="27"/>
      <c r="MUY354" s="27"/>
      <c r="MUZ354" s="27"/>
      <c r="MVA354" s="27"/>
      <c r="MVB354" s="27"/>
      <c r="MVC354" s="27"/>
      <c r="MVD354" s="27"/>
      <c r="MVE354" s="27"/>
      <c r="MVF354" s="27"/>
      <c r="MVG354" s="27"/>
      <c r="MVH354" s="27"/>
      <c r="MVI354" s="27"/>
      <c r="MVJ354" s="27"/>
      <c r="MVK354" s="27"/>
      <c r="MVL354" s="27"/>
      <c r="MVM354" s="27"/>
      <c r="MVN354" s="27"/>
      <c r="MVO354" s="27"/>
      <c r="MVP354" s="27"/>
      <c r="MVQ354" s="27"/>
      <c r="MVR354" s="27"/>
      <c r="MVS354" s="27"/>
      <c r="MVT354" s="27"/>
      <c r="MVU354" s="27"/>
      <c r="MVV354" s="27"/>
      <c r="MVW354" s="27"/>
      <c r="MVX354" s="27"/>
      <c r="MVY354" s="27"/>
      <c r="MVZ354" s="27"/>
      <c r="MWA354" s="27"/>
      <c r="MWB354" s="27"/>
      <c r="MWC354" s="27"/>
      <c r="MWD354" s="27"/>
      <c r="MWE354" s="27"/>
      <c r="MWF354" s="27"/>
      <c r="MWG354" s="27"/>
      <c r="MWH354" s="27"/>
      <c r="MWI354" s="27"/>
      <c r="MWJ354" s="27"/>
      <c r="MWK354" s="27"/>
      <c r="MWL354" s="27"/>
      <c r="MWM354" s="27"/>
      <c r="MWN354" s="27"/>
      <c r="MWO354" s="27"/>
      <c r="MWP354" s="27"/>
      <c r="MWQ354" s="27"/>
      <c r="MWR354" s="27"/>
      <c r="MWS354" s="27"/>
      <c r="MWT354" s="27"/>
      <c r="MWU354" s="27"/>
      <c r="MWV354" s="27"/>
      <c r="MWW354" s="27"/>
      <c r="MWX354" s="27"/>
      <c r="MWY354" s="27"/>
      <c r="MWZ354" s="27"/>
      <c r="MXA354" s="27"/>
      <c r="MXB354" s="27"/>
      <c r="MXC354" s="27"/>
      <c r="MXD354" s="27"/>
      <c r="MXE354" s="27"/>
      <c r="MXF354" s="27"/>
      <c r="MXG354" s="27"/>
      <c r="MXH354" s="27"/>
      <c r="MXI354" s="27"/>
      <c r="MXJ354" s="27"/>
      <c r="MXK354" s="27"/>
      <c r="MXL354" s="27"/>
      <c r="MXM354" s="27"/>
      <c r="MXN354" s="27"/>
      <c r="MXO354" s="27"/>
      <c r="MXP354" s="27"/>
      <c r="MXQ354" s="27"/>
      <c r="MXR354" s="27"/>
      <c r="MXS354" s="27"/>
      <c r="MXT354" s="27"/>
      <c r="MXU354" s="27"/>
      <c r="MXV354" s="27"/>
      <c r="MXW354" s="27"/>
      <c r="MXX354" s="27"/>
      <c r="MXY354" s="27"/>
      <c r="MXZ354" s="27"/>
      <c r="MYA354" s="27"/>
      <c r="MYB354" s="27"/>
      <c r="MYC354" s="27"/>
      <c r="MYD354" s="27"/>
      <c r="MYE354" s="27"/>
      <c r="MYF354" s="27"/>
      <c r="MYG354" s="27"/>
      <c r="MYH354" s="27"/>
      <c r="MYI354" s="27"/>
      <c r="MYJ354" s="27"/>
      <c r="MYK354" s="27"/>
      <c r="MYL354" s="27"/>
      <c r="MYM354" s="27"/>
      <c r="MYN354" s="27"/>
      <c r="MYO354" s="27"/>
      <c r="MYP354" s="27"/>
      <c r="MYQ354" s="27"/>
      <c r="MYR354" s="27"/>
      <c r="MYS354" s="27"/>
      <c r="MYT354" s="27"/>
      <c r="MYU354" s="27"/>
      <c r="MYV354" s="27"/>
      <c r="MYW354" s="27"/>
      <c r="MYX354" s="27"/>
      <c r="MYY354" s="27"/>
      <c r="MYZ354" s="27"/>
      <c r="MZA354" s="27"/>
      <c r="MZB354" s="27"/>
      <c r="MZC354" s="27"/>
      <c r="MZD354" s="27"/>
      <c r="MZE354" s="27"/>
      <c r="MZF354" s="27"/>
      <c r="MZG354" s="27"/>
      <c r="MZH354" s="27"/>
      <c r="MZI354" s="27"/>
      <c r="MZJ354" s="27"/>
      <c r="MZK354" s="27"/>
      <c r="MZL354" s="27"/>
      <c r="MZM354" s="27"/>
      <c r="MZN354" s="27"/>
      <c r="MZO354" s="27"/>
      <c r="MZP354" s="27"/>
      <c r="MZQ354" s="27"/>
      <c r="MZR354" s="27"/>
      <c r="MZS354" s="27"/>
      <c r="MZT354" s="27"/>
      <c r="MZU354" s="27"/>
      <c r="MZV354" s="27"/>
      <c r="MZW354" s="27"/>
      <c r="MZX354" s="27"/>
      <c r="MZY354" s="27"/>
      <c r="MZZ354" s="27"/>
      <c r="NAA354" s="27"/>
      <c r="NAB354" s="27"/>
      <c r="NAC354" s="27"/>
      <c r="NAD354" s="27"/>
      <c r="NAE354" s="27"/>
      <c r="NAF354" s="27"/>
      <c r="NAG354" s="27"/>
      <c r="NAH354" s="27"/>
      <c r="NAI354" s="27"/>
      <c r="NAJ354" s="27"/>
      <c r="NAK354" s="27"/>
      <c r="NAL354" s="27"/>
      <c r="NAM354" s="27"/>
      <c r="NAN354" s="27"/>
      <c r="NAO354" s="27"/>
      <c r="NAP354" s="27"/>
      <c r="NAQ354" s="27"/>
      <c r="NAR354" s="27"/>
      <c r="NAS354" s="27"/>
      <c r="NAT354" s="27"/>
      <c r="NAU354" s="27"/>
      <c r="NAV354" s="27"/>
      <c r="NAW354" s="27"/>
      <c r="NAX354" s="27"/>
      <c r="NAY354" s="27"/>
      <c r="NAZ354" s="27"/>
      <c r="NBA354" s="27"/>
      <c r="NBB354" s="27"/>
      <c r="NBC354" s="27"/>
      <c r="NBD354" s="27"/>
      <c r="NBE354" s="27"/>
      <c r="NBF354" s="27"/>
      <c r="NBG354" s="27"/>
      <c r="NBH354" s="27"/>
      <c r="NBI354" s="27"/>
      <c r="NBJ354" s="27"/>
      <c r="NBK354" s="27"/>
      <c r="NBL354" s="27"/>
      <c r="NBM354" s="27"/>
      <c r="NBN354" s="27"/>
      <c r="NBO354" s="27"/>
      <c r="NBP354" s="27"/>
      <c r="NBQ354" s="27"/>
      <c r="NBR354" s="27"/>
      <c r="NBS354" s="27"/>
      <c r="NBT354" s="27"/>
      <c r="NBU354" s="27"/>
      <c r="NBV354" s="27"/>
      <c r="NBW354" s="27"/>
      <c r="NBX354" s="27"/>
      <c r="NBY354" s="27"/>
      <c r="NBZ354" s="27"/>
      <c r="NCA354" s="27"/>
      <c r="NCB354" s="27"/>
      <c r="NCC354" s="27"/>
      <c r="NCD354" s="27"/>
      <c r="NCE354" s="27"/>
      <c r="NCF354" s="27"/>
      <c r="NCG354" s="27"/>
      <c r="NCH354" s="27"/>
      <c r="NCI354" s="27"/>
      <c r="NCJ354" s="27"/>
      <c r="NCK354" s="27"/>
      <c r="NCL354" s="27"/>
      <c r="NCM354" s="27"/>
      <c r="NCN354" s="27"/>
      <c r="NCO354" s="27"/>
      <c r="NCP354" s="27"/>
      <c r="NCQ354" s="27"/>
      <c r="NCR354" s="27"/>
      <c r="NCS354" s="27"/>
      <c r="NCT354" s="27"/>
      <c r="NCU354" s="27"/>
      <c r="NCV354" s="27"/>
      <c r="NCW354" s="27"/>
      <c r="NCX354" s="27"/>
      <c r="NCY354" s="27"/>
      <c r="NCZ354" s="27"/>
      <c r="NDA354" s="27"/>
      <c r="NDB354" s="27"/>
      <c r="NDC354" s="27"/>
      <c r="NDD354" s="27"/>
      <c r="NDE354" s="27"/>
      <c r="NDF354" s="27"/>
      <c r="NDG354" s="27"/>
      <c r="NDH354" s="27"/>
      <c r="NDI354" s="27"/>
      <c r="NDJ354" s="27"/>
      <c r="NDK354" s="27"/>
      <c r="NDL354" s="27"/>
      <c r="NDM354" s="27"/>
      <c r="NDN354" s="27"/>
      <c r="NDO354" s="27"/>
      <c r="NDP354" s="27"/>
      <c r="NDQ354" s="27"/>
      <c r="NDR354" s="27"/>
      <c r="NDS354" s="27"/>
      <c r="NDT354" s="27"/>
      <c r="NDU354" s="27"/>
      <c r="NDV354" s="27"/>
      <c r="NDW354" s="27"/>
      <c r="NDX354" s="27"/>
      <c r="NDY354" s="27"/>
      <c r="NDZ354" s="27"/>
      <c r="NEA354" s="27"/>
      <c r="NEB354" s="27"/>
      <c r="NEC354" s="27"/>
      <c r="NED354" s="27"/>
      <c r="NEE354" s="27"/>
      <c r="NEF354" s="27"/>
      <c r="NEG354" s="27"/>
      <c r="NEH354" s="27"/>
      <c r="NEI354" s="27"/>
      <c r="NEJ354" s="27"/>
      <c r="NEK354" s="27"/>
      <c r="NEL354" s="27"/>
      <c r="NEM354" s="27"/>
      <c r="NEN354" s="27"/>
      <c r="NEO354" s="27"/>
      <c r="NEP354" s="27"/>
      <c r="NEQ354" s="27"/>
      <c r="NER354" s="27"/>
      <c r="NES354" s="27"/>
      <c r="NET354" s="27"/>
      <c r="NEU354" s="27"/>
      <c r="NEV354" s="27"/>
      <c r="NEW354" s="27"/>
      <c r="NEX354" s="27"/>
      <c r="NEY354" s="27"/>
      <c r="NEZ354" s="27"/>
      <c r="NFA354" s="27"/>
      <c r="NFB354" s="27"/>
      <c r="NFC354" s="27"/>
      <c r="NFD354" s="27"/>
      <c r="NFE354" s="27"/>
      <c r="NFF354" s="27"/>
      <c r="NFG354" s="27"/>
      <c r="NFH354" s="27"/>
      <c r="NFI354" s="27"/>
      <c r="NFJ354" s="27"/>
      <c r="NFK354" s="27"/>
      <c r="NFL354" s="27"/>
      <c r="NFM354" s="27"/>
      <c r="NFN354" s="27"/>
      <c r="NFO354" s="27"/>
      <c r="NFP354" s="27"/>
      <c r="NFQ354" s="27"/>
      <c r="NFR354" s="27"/>
      <c r="NFS354" s="27"/>
      <c r="NFT354" s="27"/>
      <c r="NFU354" s="27"/>
      <c r="NFV354" s="27"/>
      <c r="NFW354" s="27"/>
      <c r="NFX354" s="27"/>
      <c r="NFY354" s="27"/>
      <c r="NFZ354" s="27"/>
      <c r="NGA354" s="27"/>
      <c r="NGB354" s="27"/>
      <c r="NGC354" s="27"/>
      <c r="NGD354" s="27"/>
      <c r="NGE354" s="27"/>
      <c r="NGF354" s="27"/>
      <c r="NGG354" s="27"/>
      <c r="NGH354" s="27"/>
      <c r="NGI354" s="27"/>
      <c r="NGJ354" s="27"/>
      <c r="NGK354" s="27"/>
      <c r="NGL354" s="27"/>
      <c r="NGM354" s="27"/>
      <c r="NGN354" s="27"/>
      <c r="NGO354" s="27"/>
      <c r="NGP354" s="27"/>
      <c r="NGQ354" s="27"/>
      <c r="NGR354" s="27"/>
      <c r="NGS354" s="27"/>
      <c r="NGT354" s="27"/>
      <c r="NGU354" s="27"/>
      <c r="NGV354" s="27"/>
      <c r="NGW354" s="27"/>
      <c r="NGX354" s="27"/>
      <c r="NGY354" s="27"/>
      <c r="NGZ354" s="27"/>
      <c r="NHA354" s="27"/>
      <c r="NHB354" s="27"/>
      <c r="NHC354" s="27"/>
      <c r="NHD354" s="27"/>
      <c r="NHE354" s="27"/>
      <c r="NHF354" s="27"/>
      <c r="NHG354" s="27"/>
      <c r="NHH354" s="27"/>
      <c r="NHI354" s="27"/>
      <c r="NHJ354" s="27"/>
      <c r="NHK354" s="27"/>
      <c r="NHL354" s="27"/>
      <c r="NHM354" s="27"/>
      <c r="NHN354" s="27"/>
      <c r="NHO354" s="27"/>
      <c r="NHP354" s="27"/>
      <c r="NHQ354" s="27"/>
      <c r="NHR354" s="27"/>
      <c r="NHS354" s="27"/>
      <c r="NHT354" s="27"/>
      <c r="NHU354" s="27"/>
      <c r="NHV354" s="27"/>
      <c r="NHW354" s="27"/>
      <c r="NHX354" s="27"/>
      <c r="NHY354" s="27"/>
      <c r="NHZ354" s="27"/>
      <c r="NIA354" s="27"/>
      <c r="NIB354" s="27"/>
      <c r="NIC354" s="27"/>
      <c r="NID354" s="27"/>
      <c r="NIE354" s="27"/>
      <c r="NIF354" s="27"/>
      <c r="NIG354" s="27"/>
      <c r="NIH354" s="27"/>
      <c r="NII354" s="27"/>
      <c r="NIJ354" s="27"/>
      <c r="NIK354" s="27"/>
      <c r="NIL354" s="27"/>
      <c r="NIM354" s="27"/>
      <c r="NIN354" s="27"/>
      <c r="NIO354" s="27"/>
      <c r="NIP354" s="27"/>
      <c r="NIQ354" s="27"/>
      <c r="NIR354" s="27"/>
      <c r="NIS354" s="27"/>
      <c r="NIT354" s="27"/>
      <c r="NIU354" s="27"/>
      <c r="NIV354" s="27"/>
      <c r="NIW354" s="27"/>
      <c r="NIX354" s="27"/>
      <c r="NIY354" s="27"/>
      <c r="NIZ354" s="27"/>
      <c r="NJA354" s="27"/>
      <c r="NJB354" s="27"/>
      <c r="NJC354" s="27"/>
      <c r="NJD354" s="27"/>
      <c r="NJE354" s="27"/>
      <c r="NJF354" s="27"/>
      <c r="NJG354" s="27"/>
      <c r="NJH354" s="27"/>
      <c r="NJI354" s="27"/>
      <c r="NJJ354" s="27"/>
      <c r="NJK354" s="27"/>
      <c r="NJL354" s="27"/>
      <c r="NJM354" s="27"/>
      <c r="NJN354" s="27"/>
      <c r="NJO354" s="27"/>
      <c r="NJP354" s="27"/>
      <c r="NJQ354" s="27"/>
      <c r="NJR354" s="27"/>
      <c r="NJS354" s="27"/>
      <c r="NJT354" s="27"/>
      <c r="NJU354" s="27"/>
      <c r="NJV354" s="27"/>
      <c r="NJW354" s="27"/>
      <c r="NJX354" s="27"/>
      <c r="NJY354" s="27"/>
      <c r="NJZ354" s="27"/>
      <c r="NKA354" s="27"/>
      <c r="NKB354" s="27"/>
      <c r="NKC354" s="27"/>
      <c r="NKD354" s="27"/>
      <c r="NKE354" s="27"/>
      <c r="NKF354" s="27"/>
      <c r="NKG354" s="27"/>
      <c r="NKH354" s="27"/>
      <c r="NKI354" s="27"/>
      <c r="NKJ354" s="27"/>
      <c r="NKK354" s="27"/>
      <c r="NKL354" s="27"/>
      <c r="NKM354" s="27"/>
      <c r="NKN354" s="27"/>
      <c r="NKO354" s="27"/>
      <c r="NKP354" s="27"/>
      <c r="NKQ354" s="27"/>
      <c r="NKR354" s="27"/>
      <c r="NKS354" s="27"/>
      <c r="NKT354" s="27"/>
      <c r="NKU354" s="27"/>
      <c r="NKV354" s="27"/>
      <c r="NKW354" s="27"/>
      <c r="NKX354" s="27"/>
      <c r="NKY354" s="27"/>
      <c r="NKZ354" s="27"/>
      <c r="NLA354" s="27"/>
      <c r="NLB354" s="27"/>
      <c r="NLC354" s="27"/>
      <c r="NLD354" s="27"/>
      <c r="NLE354" s="27"/>
      <c r="NLF354" s="27"/>
      <c r="NLG354" s="27"/>
      <c r="NLH354" s="27"/>
      <c r="NLI354" s="27"/>
      <c r="NLJ354" s="27"/>
      <c r="NLK354" s="27"/>
      <c r="NLL354" s="27"/>
      <c r="NLM354" s="27"/>
      <c r="NLN354" s="27"/>
      <c r="NLO354" s="27"/>
      <c r="NLP354" s="27"/>
      <c r="NLQ354" s="27"/>
      <c r="NLR354" s="27"/>
      <c r="NLS354" s="27"/>
      <c r="NLT354" s="27"/>
      <c r="NLU354" s="27"/>
      <c r="NLV354" s="27"/>
      <c r="NLW354" s="27"/>
      <c r="NLX354" s="27"/>
      <c r="NLY354" s="27"/>
      <c r="NLZ354" s="27"/>
      <c r="NMA354" s="27"/>
      <c r="NMB354" s="27"/>
      <c r="NMC354" s="27"/>
      <c r="NMD354" s="27"/>
      <c r="NME354" s="27"/>
      <c r="NMF354" s="27"/>
      <c r="NMG354" s="27"/>
      <c r="NMH354" s="27"/>
      <c r="NMI354" s="27"/>
      <c r="NMJ354" s="27"/>
      <c r="NMK354" s="27"/>
      <c r="NML354" s="27"/>
      <c r="NMM354" s="27"/>
      <c r="NMN354" s="27"/>
      <c r="NMO354" s="27"/>
      <c r="NMP354" s="27"/>
      <c r="NMQ354" s="27"/>
      <c r="NMR354" s="27"/>
      <c r="NMS354" s="27"/>
      <c r="NMT354" s="27"/>
      <c r="NMU354" s="27"/>
      <c r="NMV354" s="27"/>
      <c r="NMW354" s="27"/>
      <c r="NMX354" s="27"/>
      <c r="NMY354" s="27"/>
      <c r="NMZ354" s="27"/>
      <c r="NNA354" s="27"/>
      <c r="NNB354" s="27"/>
      <c r="NNC354" s="27"/>
      <c r="NND354" s="27"/>
      <c r="NNE354" s="27"/>
      <c r="NNF354" s="27"/>
      <c r="NNG354" s="27"/>
      <c r="NNH354" s="27"/>
      <c r="NNI354" s="27"/>
      <c r="NNJ354" s="27"/>
      <c r="NNK354" s="27"/>
      <c r="NNL354" s="27"/>
      <c r="NNM354" s="27"/>
      <c r="NNN354" s="27"/>
      <c r="NNO354" s="27"/>
      <c r="NNP354" s="27"/>
      <c r="NNQ354" s="27"/>
      <c r="NNR354" s="27"/>
      <c r="NNS354" s="27"/>
      <c r="NNT354" s="27"/>
      <c r="NNU354" s="27"/>
      <c r="NNV354" s="27"/>
      <c r="NNW354" s="27"/>
      <c r="NNX354" s="27"/>
      <c r="NNY354" s="27"/>
      <c r="NNZ354" s="27"/>
      <c r="NOA354" s="27"/>
      <c r="NOB354" s="27"/>
      <c r="NOC354" s="27"/>
      <c r="NOD354" s="27"/>
      <c r="NOE354" s="27"/>
      <c r="NOF354" s="27"/>
      <c r="NOG354" s="27"/>
      <c r="NOH354" s="27"/>
      <c r="NOI354" s="27"/>
      <c r="NOJ354" s="27"/>
      <c r="NOK354" s="27"/>
      <c r="NOL354" s="27"/>
      <c r="NOM354" s="27"/>
      <c r="NON354" s="27"/>
      <c r="NOO354" s="27"/>
      <c r="NOP354" s="27"/>
      <c r="NOQ354" s="27"/>
      <c r="NOR354" s="27"/>
      <c r="NOS354" s="27"/>
      <c r="NOT354" s="27"/>
      <c r="NOU354" s="27"/>
      <c r="NOV354" s="27"/>
      <c r="NOW354" s="27"/>
      <c r="NOX354" s="27"/>
      <c r="NOY354" s="27"/>
      <c r="NOZ354" s="27"/>
      <c r="NPA354" s="27"/>
      <c r="NPB354" s="27"/>
      <c r="NPC354" s="27"/>
      <c r="NPD354" s="27"/>
      <c r="NPE354" s="27"/>
      <c r="NPF354" s="27"/>
      <c r="NPG354" s="27"/>
      <c r="NPH354" s="27"/>
      <c r="NPI354" s="27"/>
      <c r="NPJ354" s="27"/>
      <c r="NPK354" s="27"/>
      <c r="NPL354" s="27"/>
      <c r="NPM354" s="27"/>
      <c r="NPN354" s="27"/>
      <c r="NPO354" s="27"/>
      <c r="NPP354" s="27"/>
      <c r="NPQ354" s="27"/>
      <c r="NPR354" s="27"/>
      <c r="NPS354" s="27"/>
      <c r="NPT354" s="27"/>
      <c r="NPU354" s="27"/>
      <c r="NPV354" s="27"/>
      <c r="NPW354" s="27"/>
      <c r="NPX354" s="27"/>
      <c r="NPY354" s="27"/>
      <c r="NPZ354" s="27"/>
      <c r="NQA354" s="27"/>
      <c r="NQB354" s="27"/>
      <c r="NQC354" s="27"/>
      <c r="NQD354" s="27"/>
      <c r="NQE354" s="27"/>
      <c r="NQF354" s="27"/>
      <c r="NQG354" s="27"/>
      <c r="NQH354" s="27"/>
      <c r="NQI354" s="27"/>
      <c r="NQJ354" s="27"/>
      <c r="NQK354" s="27"/>
      <c r="NQL354" s="27"/>
      <c r="NQM354" s="27"/>
      <c r="NQN354" s="27"/>
      <c r="NQO354" s="27"/>
      <c r="NQP354" s="27"/>
      <c r="NQQ354" s="27"/>
      <c r="NQR354" s="27"/>
      <c r="NQS354" s="27"/>
      <c r="NQT354" s="27"/>
      <c r="NQU354" s="27"/>
      <c r="NQV354" s="27"/>
      <c r="NQW354" s="27"/>
      <c r="NQX354" s="27"/>
      <c r="NQY354" s="27"/>
      <c r="NQZ354" s="27"/>
      <c r="NRA354" s="27"/>
      <c r="NRB354" s="27"/>
      <c r="NRC354" s="27"/>
      <c r="NRD354" s="27"/>
      <c r="NRE354" s="27"/>
      <c r="NRF354" s="27"/>
      <c r="NRG354" s="27"/>
      <c r="NRH354" s="27"/>
      <c r="NRI354" s="27"/>
      <c r="NRJ354" s="27"/>
      <c r="NRK354" s="27"/>
      <c r="NRL354" s="27"/>
      <c r="NRM354" s="27"/>
      <c r="NRN354" s="27"/>
      <c r="NRO354" s="27"/>
      <c r="NRP354" s="27"/>
      <c r="NRQ354" s="27"/>
      <c r="NRR354" s="27"/>
      <c r="NRS354" s="27"/>
      <c r="NRT354" s="27"/>
      <c r="NRU354" s="27"/>
      <c r="NRV354" s="27"/>
      <c r="NRW354" s="27"/>
      <c r="NRX354" s="27"/>
      <c r="NRY354" s="27"/>
      <c r="NRZ354" s="27"/>
      <c r="NSA354" s="27"/>
      <c r="NSB354" s="27"/>
      <c r="NSC354" s="27"/>
      <c r="NSD354" s="27"/>
      <c r="NSE354" s="27"/>
      <c r="NSF354" s="27"/>
      <c r="NSG354" s="27"/>
      <c r="NSH354" s="27"/>
      <c r="NSI354" s="27"/>
      <c r="NSJ354" s="27"/>
      <c r="NSK354" s="27"/>
      <c r="NSL354" s="27"/>
      <c r="NSM354" s="27"/>
      <c r="NSN354" s="27"/>
      <c r="NSO354" s="27"/>
      <c r="NSP354" s="27"/>
      <c r="NSQ354" s="27"/>
      <c r="NSR354" s="27"/>
      <c r="NSS354" s="27"/>
      <c r="NST354" s="27"/>
      <c r="NSU354" s="27"/>
      <c r="NSV354" s="27"/>
      <c r="NSW354" s="27"/>
      <c r="NSX354" s="27"/>
      <c r="NSY354" s="27"/>
      <c r="NSZ354" s="27"/>
      <c r="NTA354" s="27"/>
      <c r="NTB354" s="27"/>
      <c r="NTC354" s="27"/>
      <c r="NTD354" s="27"/>
      <c r="NTE354" s="27"/>
      <c r="NTF354" s="27"/>
      <c r="NTG354" s="27"/>
      <c r="NTH354" s="27"/>
      <c r="NTI354" s="27"/>
      <c r="NTJ354" s="27"/>
      <c r="NTK354" s="27"/>
      <c r="NTL354" s="27"/>
      <c r="NTM354" s="27"/>
      <c r="NTN354" s="27"/>
      <c r="NTO354" s="27"/>
      <c r="NTP354" s="27"/>
      <c r="NTQ354" s="27"/>
      <c r="NTR354" s="27"/>
      <c r="NTS354" s="27"/>
      <c r="NTT354" s="27"/>
      <c r="NTU354" s="27"/>
      <c r="NTV354" s="27"/>
      <c r="NTW354" s="27"/>
      <c r="NTX354" s="27"/>
      <c r="NTY354" s="27"/>
      <c r="NTZ354" s="27"/>
      <c r="NUA354" s="27"/>
      <c r="NUB354" s="27"/>
      <c r="NUC354" s="27"/>
      <c r="NUD354" s="27"/>
      <c r="NUE354" s="27"/>
      <c r="NUF354" s="27"/>
      <c r="NUG354" s="27"/>
      <c r="NUH354" s="27"/>
      <c r="NUI354" s="27"/>
      <c r="NUJ354" s="27"/>
      <c r="NUK354" s="27"/>
      <c r="NUL354" s="27"/>
      <c r="NUM354" s="27"/>
      <c r="NUN354" s="27"/>
      <c r="NUO354" s="27"/>
      <c r="NUP354" s="27"/>
      <c r="NUQ354" s="27"/>
      <c r="NUR354" s="27"/>
      <c r="NUS354" s="27"/>
      <c r="NUT354" s="27"/>
      <c r="NUU354" s="27"/>
      <c r="NUV354" s="27"/>
      <c r="NUW354" s="27"/>
      <c r="NUX354" s="27"/>
      <c r="NUY354" s="27"/>
      <c r="NUZ354" s="27"/>
      <c r="NVA354" s="27"/>
      <c r="NVB354" s="27"/>
      <c r="NVC354" s="27"/>
      <c r="NVD354" s="27"/>
      <c r="NVE354" s="27"/>
      <c r="NVF354" s="27"/>
      <c r="NVG354" s="27"/>
      <c r="NVH354" s="27"/>
      <c r="NVI354" s="27"/>
      <c r="NVJ354" s="27"/>
      <c r="NVK354" s="27"/>
      <c r="NVL354" s="27"/>
      <c r="NVM354" s="27"/>
      <c r="NVN354" s="27"/>
      <c r="NVO354" s="27"/>
      <c r="NVP354" s="27"/>
      <c r="NVQ354" s="27"/>
      <c r="NVR354" s="27"/>
      <c r="NVS354" s="27"/>
      <c r="NVT354" s="27"/>
      <c r="NVU354" s="27"/>
      <c r="NVV354" s="27"/>
      <c r="NVW354" s="27"/>
      <c r="NVX354" s="27"/>
      <c r="NVY354" s="27"/>
      <c r="NVZ354" s="27"/>
      <c r="NWA354" s="27"/>
      <c r="NWB354" s="27"/>
      <c r="NWC354" s="27"/>
      <c r="NWD354" s="27"/>
      <c r="NWE354" s="27"/>
      <c r="NWF354" s="27"/>
      <c r="NWG354" s="27"/>
      <c r="NWH354" s="27"/>
      <c r="NWI354" s="27"/>
      <c r="NWJ354" s="27"/>
      <c r="NWK354" s="27"/>
      <c r="NWL354" s="27"/>
      <c r="NWM354" s="27"/>
      <c r="NWN354" s="27"/>
      <c r="NWO354" s="27"/>
      <c r="NWP354" s="27"/>
      <c r="NWQ354" s="27"/>
      <c r="NWR354" s="27"/>
      <c r="NWS354" s="27"/>
      <c r="NWT354" s="27"/>
      <c r="NWU354" s="27"/>
      <c r="NWV354" s="27"/>
      <c r="NWW354" s="27"/>
      <c r="NWX354" s="27"/>
      <c r="NWY354" s="27"/>
      <c r="NWZ354" s="27"/>
      <c r="NXA354" s="27"/>
      <c r="NXB354" s="27"/>
      <c r="NXC354" s="27"/>
      <c r="NXD354" s="27"/>
      <c r="NXE354" s="27"/>
      <c r="NXF354" s="27"/>
      <c r="NXG354" s="27"/>
      <c r="NXH354" s="27"/>
      <c r="NXI354" s="27"/>
      <c r="NXJ354" s="27"/>
      <c r="NXK354" s="27"/>
      <c r="NXL354" s="27"/>
      <c r="NXM354" s="27"/>
      <c r="NXN354" s="27"/>
      <c r="NXO354" s="27"/>
      <c r="NXP354" s="27"/>
      <c r="NXQ354" s="27"/>
      <c r="NXR354" s="27"/>
      <c r="NXS354" s="27"/>
      <c r="NXT354" s="27"/>
      <c r="NXU354" s="27"/>
      <c r="NXV354" s="27"/>
      <c r="NXW354" s="27"/>
      <c r="NXX354" s="27"/>
      <c r="NXY354" s="27"/>
      <c r="NXZ354" s="27"/>
      <c r="NYA354" s="27"/>
      <c r="NYB354" s="27"/>
      <c r="NYC354" s="27"/>
      <c r="NYD354" s="27"/>
      <c r="NYE354" s="27"/>
      <c r="NYF354" s="27"/>
      <c r="NYG354" s="27"/>
      <c r="NYH354" s="27"/>
      <c r="NYI354" s="27"/>
      <c r="NYJ354" s="27"/>
      <c r="NYK354" s="27"/>
      <c r="NYL354" s="27"/>
      <c r="NYM354" s="27"/>
      <c r="NYN354" s="27"/>
      <c r="NYO354" s="27"/>
      <c r="NYP354" s="27"/>
      <c r="NYQ354" s="27"/>
      <c r="NYR354" s="27"/>
      <c r="NYS354" s="27"/>
      <c r="NYT354" s="27"/>
      <c r="NYU354" s="27"/>
      <c r="NYV354" s="27"/>
      <c r="NYW354" s="27"/>
      <c r="NYX354" s="27"/>
      <c r="NYY354" s="27"/>
      <c r="NYZ354" s="27"/>
      <c r="NZA354" s="27"/>
      <c r="NZB354" s="27"/>
      <c r="NZC354" s="27"/>
      <c r="NZD354" s="27"/>
      <c r="NZE354" s="27"/>
      <c r="NZF354" s="27"/>
      <c r="NZG354" s="27"/>
      <c r="NZH354" s="27"/>
      <c r="NZI354" s="27"/>
      <c r="NZJ354" s="27"/>
      <c r="NZK354" s="27"/>
      <c r="NZL354" s="27"/>
      <c r="NZM354" s="27"/>
      <c r="NZN354" s="27"/>
      <c r="NZO354" s="27"/>
      <c r="NZP354" s="27"/>
      <c r="NZQ354" s="27"/>
      <c r="NZR354" s="27"/>
      <c r="NZS354" s="27"/>
      <c r="NZT354" s="27"/>
      <c r="NZU354" s="27"/>
      <c r="NZV354" s="27"/>
      <c r="NZW354" s="27"/>
      <c r="NZX354" s="27"/>
      <c r="NZY354" s="27"/>
      <c r="NZZ354" s="27"/>
      <c r="OAA354" s="27"/>
      <c r="OAB354" s="27"/>
      <c r="OAC354" s="27"/>
      <c r="OAD354" s="27"/>
      <c r="OAE354" s="27"/>
      <c r="OAF354" s="27"/>
      <c r="OAG354" s="27"/>
      <c r="OAH354" s="27"/>
      <c r="OAI354" s="27"/>
      <c r="OAJ354" s="27"/>
      <c r="OAK354" s="27"/>
      <c r="OAL354" s="27"/>
      <c r="OAM354" s="27"/>
      <c r="OAN354" s="27"/>
      <c r="OAO354" s="27"/>
      <c r="OAP354" s="27"/>
      <c r="OAQ354" s="27"/>
      <c r="OAR354" s="27"/>
      <c r="OAS354" s="27"/>
      <c r="OAT354" s="27"/>
      <c r="OAU354" s="27"/>
      <c r="OAV354" s="27"/>
      <c r="OAW354" s="27"/>
      <c r="OAX354" s="27"/>
      <c r="OAY354" s="27"/>
      <c r="OAZ354" s="27"/>
      <c r="OBA354" s="27"/>
      <c r="OBB354" s="27"/>
      <c r="OBC354" s="27"/>
      <c r="OBD354" s="27"/>
      <c r="OBE354" s="27"/>
      <c r="OBF354" s="27"/>
      <c r="OBG354" s="27"/>
      <c r="OBH354" s="27"/>
      <c r="OBI354" s="27"/>
      <c r="OBJ354" s="27"/>
      <c r="OBK354" s="27"/>
      <c r="OBL354" s="27"/>
      <c r="OBM354" s="27"/>
      <c r="OBN354" s="27"/>
      <c r="OBO354" s="27"/>
      <c r="OBP354" s="27"/>
      <c r="OBQ354" s="27"/>
      <c r="OBR354" s="27"/>
      <c r="OBS354" s="27"/>
      <c r="OBT354" s="27"/>
      <c r="OBU354" s="27"/>
      <c r="OBV354" s="27"/>
      <c r="OBW354" s="27"/>
      <c r="OBX354" s="27"/>
      <c r="OBY354" s="27"/>
      <c r="OBZ354" s="27"/>
      <c r="OCA354" s="27"/>
      <c r="OCB354" s="27"/>
      <c r="OCC354" s="27"/>
      <c r="OCD354" s="27"/>
      <c r="OCE354" s="27"/>
      <c r="OCF354" s="27"/>
      <c r="OCG354" s="27"/>
      <c r="OCH354" s="27"/>
      <c r="OCI354" s="27"/>
      <c r="OCJ354" s="27"/>
      <c r="OCK354" s="27"/>
      <c r="OCL354" s="27"/>
      <c r="OCM354" s="27"/>
      <c r="OCN354" s="27"/>
      <c r="OCO354" s="27"/>
      <c r="OCP354" s="27"/>
      <c r="OCQ354" s="27"/>
      <c r="OCR354" s="27"/>
      <c r="OCS354" s="27"/>
      <c r="OCT354" s="27"/>
      <c r="OCU354" s="27"/>
      <c r="OCV354" s="27"/>
      <c r="OCW354" s="27"/>
      <c r="OCX354" s="27"/>
      <c r="OCY354" s="27"/>
      <c r="OCZ354" s="27"/>
      <c r="ODA354" s="27"/>
      <c r="ODB354" s="27"/>
      <c r="ODC354" s="27"/>
      <c r="ODD354" s="27"/>
      <c r="ODE354" s="27"/>
      <c r="ODF354" s="27"/>
      <c r="ODG354" s="27"/>
      <c r="ODH354" s="27"/>
      <c r="ODI354" s="27"/>
      <c r="ODJ354" s="27"/>
      <c r="ODK354" s="27"/>
      <c r="ODL354" s="27"/>
      <c r="ODM354" s="27"/>
      <c r="ODN354" s="27"/>
      <c r="ODO354" s="27"/>
      <c r="ODP354" s="27"/>
      <c r="ODQ354" s="27"/>
      <c r="ODR354" s="27"/>
      <c r="ODS354" s="27"/>
      <c r="ODT354" s="27"/>
      <c r="ODU354" s="27"/>
      <c r="ODV354" s="27"/>
      <c r="ODW354" s="27"/>
      <c r="ODX354" s="27"/>
      <c r="ODY354" s="27"/>
      <c r="ODZ354" s="27"/>
      <c r="OEA354" s="27"/>
      <c r="OEB354" s="27"/>
      <c r="OEC354" s="27"/>
      <c r="OED354" s="27"/>
      <c r="OEE354" s="27"/>
      <c r="OEF354" s="27"/>
      <c r="OEG354" s="27"/>
      <c r="OEH354" s="27"/>
      <c r="OEI354" s="27"/>
      <c r="OEJ354" s="27"/>
      <c r="OEK354" s="27"/>
      <c r="OEL354" s="27"/>
      <c r="OEM354" s="27"/>
      <c r="OEN354" s="27"/>
      <c r="OEO354" s="27"/>
      <c r="OEP354" s="27"/>
      <c r="OEQ354" s="27"/>
      <c r="OER354" s="27"/>
      <c r="OES354" s="27"/>
      <c r="OET354" s="27"/>
      <c r="OEU354" s="27"/>
      <c r="OEV354" s="27"/>
      <c r="OEW354" s="27"/>
      <c r="OEX354" s="27"/>
      <c r="OEY354" s="27"/>
      <c r="OEZ354" s="27"/>
      <c r="OFA354" s="27"/>
      <c r="OFB354" s="27"/>
      <c r="OFC354" s="27"/>
      <c r="OFD354" s="27"/>
      <c r="OFE354" s="27"/>
      <c r="OFF354" s="27"/>
      <c r="OFG354" s="27"/>
      <c r="OFH354" s="27"/>
      <c r="OFI354" s="27"/>
      <c r="OFJ354" s="27"/>
      <c r="OFK354" s="27"/>
      <c r="OFL354" s="27"/>
      <c r="OFM354" s="27"/>
      <c r="OFN354" s="27"/>
      <c r="OFO354" s="27"/>
      <c r="OFP354" s="27"/>
      <c r="OFQ354" s="27"/>
      <c r="OFR354" s="27"/>
      <c r="OFS354" s="27"/>
      <c r="OFT354" s="27"/>
      <c r="OFU354" s="27"/>
      <c r="OFV354" s="27"/>
      <c r="OFW354" s="27"/>
      <c r="OFX354" s="27"/>
      <c r="OFY354" s="27"/>
      <c r="OFZ354" s="27"/>
      <c r="OGA354" s="27"/>
      <c r="OGB354" s="27"/>
      <c r="OGC354" s="27"/>
      <c r="OGD354" s="27"/>
      <c r="OGE354" s="27"/>
      <c r="OGF354" s="27"/>
      <c r="OGG354" s="27"/>
      <c r="OGH354" s="27"/>
      <c r="OGI354" s="27"/>
      <c r="OGJ354" s="27"/>
      <c r="OGK354" s="27"/>
      <c r="OGL354" s="27"/>
      <c r="OGM354" s="27"/>
      <c r="OGN354" s="27"/>
      <c r="OGO354" s="27"/>
      <c r="OGP354" s="27"/>
      <c r="OGQ354" s="27"/>
      <c r="OGR354" s="27"/>
      <c r="OGS354" s="27"/>
      <c r="OGT354" s="27"/>
      <c r="OGU354" s="27"/>
      <c r="OGV354" s="27"/>
      <c r="OGW354" s="27"/>
      <c r="OGX354" s="27"/>
      <c r="OGY354" s="27"/>
      <c r="OGZ354" s="27"/>
      <c r="OHA354" s="27"/>
      <c r="OHB354" s="27"/>
      <c r="OHC354" s="27"/>
      <c r="OHD354" s="27"/>
      <c r="OHE354" s="27"/>
      <c r="OHF354" s="27"/>
      <c r="OHG354" s="27"/>
      <c r="OHH354" s="27"/>
      <c r="OHI354" s="27"/>
      <c r="OHJ354" s="27"/>
      <c r="OHK354" s="27"/>
      <c r="OHL354" s="27"/>
      <c r="OHM354" s="27"/>
      <c r="OHN354" s="27"/>
      <c r="OHO354" s="27"/>
      <c r="OHP354" s="27"/>
      <c r="OHQ354" s="27"/>
      <c r="OHR354" s="27"/>
      <c r="OHS354" s="27"/>
      <c r="OHT354" s="27"/>
      <c r="OHU354" s="27"/>
      <c r="OHV354" s="27"/>
      <c r="OHW354" s="27"/>
      <c r="OHX354" s="27"/>
      <c r="OHY354" s="27"/>
      <c r="OHZ354" s="27"/>
      <c r="OIA354" s="27"/>
      <c r="OIB354" s="27"/>
      <c r="OIC354" s="27"/>
      <c r="OID354" s="27"/>
      <c r="OIE354" s="27"/>
      <c r="OIF354" s="27"/>
      <c r="OIG354" s="27"/>
      <c r="OIH354" s="27"/>
      <c r="OII354" s="27"/>
      <c r="OIJ354" s="27"/>
      <c r="OIK354" s="27"/>
      <c r="OIL354" s="27"/>
      <c r="OIM354" s="27"/>
      <c r="OIN354" s="27"/>
      <c r="OIO354" s="27"/>
      <c r="OIP354" s="27"/>
      <c r="OIQ354" s="27"/>
      <c r="OIR354" s="27"/>
      <c r="OIS354" s="27"/>
      <c r="OIT354" s="27"/>
      <c r="OIU354" s="27"/>
      <c r="OIV354" s="27"/>
      <c r="OIW354" s="27"/>
      <c r="OIX354" s="27"/>
      <c r="OIY354" s="27"/>
      <c r="OIZ354" s="27"/>
      <c r="OJA354" s="27"/>
      <c r="OJB354" s="27"/>
      <c r="OJC354" s="27"/>
      <c r="OJD354" s="27"/>
      <c r="OJE354" s="27"/>
      <c r="OJF354" s="27"/>
      <c r="OJG354" s="27"/>
      <c r="OJH354" s="27"/>
      <c r="OJI354" s="27"/>
      <c r="OJJ354" s="27"/>
      <c r="OJK354" s="27"/>
      <c r="OJL354" s="27"/>
      <c r="OJM354" s="27"/>
      <c r="OJN354" s="27"/>
      <c r="OJO354" s="27"/>
      <c r="OJP354" s="27"/>
      <c r="OJQ354" s="27"/>
      <c r="OJR354" s="27"/>
      <c r="OJS354" s="27"/>
      <c r="OJT354" s="27"/>
      <c r="OJU354" s="27"/>
      <c r="OJV354" s="27"/>
      <c r="OJW354" s="27"/>
      <c r="OJX354" s="27"/>
      <c r="OJY354" s="27"/>
      <c r="OJZ354" s="27"/>
      <c r="OKA354" s="27"/>
      <c r="OKB354" s="27"/>
      <c r="OKC354" s="27"/>
      <c r="OKD354" s="27"/>
      <c r="OKE354" s="27"/>
      <c r="OKF354" s="27"/>
      <c r="OKG354" s="27"/>
      <c r="OKH354" s="27"/>
      <c r="OKI354" s="27"/>
      <c r="OKJ354" s="27"/>
      <c r="OKK354" s="27"/>
      <c r="OKL354" s="27"/>
      <c r="OKM354" s="27"/>
      <c r="OKN354" s="27"/>
      <c r="OKO354" s="27"/>
      <c r="OKP354" s="27"/>
      <c r="OKQ354" s="27"/>
      <c r="OKR354" s="27"/>
      <c r="OKS354" s="27"/>
      <c r="OKT354" s="27"/>
      <c r="OKU354" s="27"/>
      <c r="OKV354" s="27"/>
      <c r="OKW354" s="27"/>
      <c r="OKX354" s="27"/>
      <c r="OKY354" s="27"/>
      <c r="OKZ354" s="27"/>
      <c r="OLA354" s="27"/>
      <c r="OLB354" s="27"/>
      <c r="OLC354" s="27"/>
      <c r="OLD354" s="27"/>
      <c r="OLE354" s="27"/>
      <c r="OLF354" s="27"/>
      <c r="OLG354" s="27"/>
      <c r="OLH354" s="27"/>
      <c r="OLI354" s="27"/>
      <c r="OLJ354" s="27"/>
      <c r="OLK354" s="27"/>
      <c r="OLL354" s="27"/>
      <c r="OLM354" s="27"/>
      <c r="OLN354" s="27"/>
      <c r="OLO354" s="27"/>
      <c r="OLP354" s="27"/>
      <c r="OLQ354" s="27"/>
      <c r="OLR354" s="27"/>
      <c r="OLS354" s="27"/>
      <c r="OLT354" s="27"/>
      <c r="OLU354" s="27"/>
      <c r="OLV354" s="27"/>
      <c r="OLW354" s="27"/>
      <c r="OLX354" s="27"/>
      <c r="OLY354" s="27"/>
      <c r="OLZ354" s="27"/>
      <c r="OMA354" s="27"/>
      <c r="OMB354" s="27"/>
      <c r="OMC354" s="27"/>
      <c r="OMD354" s="27"/>
      <c r="OME354" s="27"/>
      <c r="OMF354" s="27"/>
      <c r="OMG354" s="27"/>
      <c r="OMH354" s="27"/>
      <c r="OMI354" s="27"/>
      <c r="OMJ354" s="27"/>
      <c r="OMK354" s="27"/>
      <c r="OML354" s="27"/>
      <c r="OMM354" s="27"/>
      <c r="OMN354" s="27"/>
      <c r="OMO354" s="27"/>
      <c r="OMP354" s="27"/>
      <c r="OMQ354" s="27"/>
      <c r="OMR354" s="27"/>
      <c r="OMS354" s="27"/>
      <c r="OMT354" s="27"/>
      <c r="OMU354" s="27"/>
      <c r="OMV354" s="27"/>
      <c r="OMW354" s="27"/>
      <c r="OMX354" s="27"/>
      <c r="OMY354" s="27"/>
      <c r="OMZ354" s="27"/>
      <c r="ONA354" s="27"/>
      <c r="ONB354" s="27"/>
      <c r="ONC354" s="27"/>
      <c r="OND354" s="27"/>
      <c r="ONE354" s="27"/>
      <c r="ONF354" s="27"/>
      <c r="ONG354" s="27"/>
      <c r="ONH354" s="27"/>
      <c r="ONI354" s="27"/>
      <c r="ONJ354" s="27"/>
      <c r="ONK354" s="27"/>
      <c r="ONL354" s="27"/>
      <c r="ONM354" s="27"/>
      <c r="ONN354" s="27"/>
      <c r="ONO354" s="27"/>
      <c r="ONP354" s="27"/>
      <c r="ONQ354" s="27"/>
      <c r="ONR354" s="27"/>
      <c r="ONS354" s="27"/>
      <c r="ONT354" s="27"/>
      <c r="ONU354" s="27"/>
      <c r="ONV354" s="27"/>
      <c r="ONW354" s="27"/>
      <c r="ONX354" s="27"/>
      <c r="ONY354" s="27"/>
      <c r="ONZ354" s="27"/>
      <c r="OOA354" s="27"/>
      <c r="OOB354" s="27"/>
      <c r="OOC354" s="27"/>
      <c r="OOD354" s="27"/>
      <c r="OOE354" s="27"/>
      <c r="OOF354" s="27"/>
      <c r="OOG354" s="27"/>
      <c r="OOH354" s="27"/>
      <c r="OOI354" s="27"/>
      <c r="OOJ354" s="27"/>
      <c r="OOK354" s="27"/>
      <c r="OOL354" s="27"/>
      <c r="OOM354" s="27"/>
      <c r="OON354" s="27"/>
      <c r="OOO354" s="27"/>
      <c r="OOP354" s="27"/>
      <c r="OOQ354" s="27"/>
      <c r="OOR354" s="27"/>
      <c r="OOS354" s="27"/>
      <c r="OOT354" s="27"/>
      <c r="OOU354" s="27"/>
      <c r="OOV354" s="27"/>
      <c r="OOW354" s="27"/>
      <c r="OOX354" s="27"/>
      <c r="OOY354" s="27"/>
      <c r="OOZ354" s="27"/>
      <c r="OPA354" s="27"/>
      <c r="OPB354" s="27"/>
      <c r="OPC354" s="27"/>
      <c r="OPD354" s="27"/>
      <c r="OPE354" s="27"/>
      <c r="OPF354" s="27"/>
      <c r="OPG354" s="27"/>
      <c r="OPH354" s="27"/>
      <c r="OPI354" s="27"/>
      <c r="OPJ354" s="27"/>
      <c r="OPK354" s="27"/>
      <c r="OPL354" s="27"/>
      <c r="OPM354" s="27"/>
      <c r="OPN354" s="27"/>
      <c r="OPO354" s="27"/>
      <c r="OPP354" s="27"/>
      <c r="OPQ354" s="27"/>
      <c r="OPR354" s="27"/>
      <c r="OPS354" s="27"/>
      <c r="OPT354" s="27"/>
      <c r="OPU354" s="27"/>
      <c r="OPV354" s="27"/>
      <c r="OPW354" s="27"/>
      <c r="OPX354" s="27"/>
      <c r="OPY354" s="27"/>
      <c r="OPZ354" s="27"/>
      <c r="OQA354" s="27"/>
      <c r="OQB354" s="27"/>
      <c r="OQC354" s="27"/>
      <c r="OQD354" s="27"/>
      <c r="OQE354" s="27"/>
      <c r="OQF354" s="27"/>
      <c r="OQG354" s="27"/>
      <c r="OQH354" s="27"/>
      <c r="OQI354" s="27"/>
      <c r="OQJ354" s="27"/>
      <c r="OQK354" s="27"/>
      <c r="OQL354" s="27"/>
      <c r="OQM354" s="27"/>
      <c r="OQN354" s="27"/>
      <c r="OQO354" s="27"/>
      <c r="OQP354" s="27"/>
      <c r="OQQ354" s="27"/>
      <c r="OQR354" s="27"/>
      <c r="OQS354" s="27"/>
      <c r="OQT354" s="27"/>
      <c r="OQU354" s="27"/>
      <c r="OQV354" s="27"/>
      <c r="OQW354" s="27"/>
      <c r="OQX354" s="27"/>
      <c r="OQY354" s="27"/>
      <c r="OQZ354" s="27"/>
      <c r="ORA354" s="27"/>
      <c r="ORB354" s="27"/>
      <c r="ORC354" s="27"/>
      <c r="ORD354" s="27"/>
      <c r="ORE354" s="27"/>
      <c r="ORF354" s="27"/>
      <c r="ORG354" s="27"/>
      <c r="ORH354" s="27"/>
      <c r="ORI354" s="27"/>
      <c r="ORJ354" s="27"/>
      <c r="ORK354" s="27"/>
      <c r="ORL354" s="27"/>
      <c r="ORM354" s="27"/>
      <c r="ORN354" s="27"/>
      <c r="ORO354" s="27"/>
      <c r="ORP354" s="27"/>
      <c r="ORQ354" s="27"/>
      <c r="ORR354" s="27"/>
      <c r="ORS354" s="27"/>
      <c r="ORT354" s="27"/>
      <c r="ORU354" s="27"/>
      <c r="ORV354" s="27"/>
      <c r="ORW354" s="27"/>
      <c r="ORX354" s="27"/>
      <c r="ORY354" s="27"/>
      <c r="ORZ354" s="27"/>
      <c r="OSA354" s="27"/>
      <c r="OSB354" s="27"/>
      <c r="OSC354" s="27"/>
      <c r="OSD354" s="27"/>
      <c r="OSE354" s="27"/>
      <c r="OSF354" s="27"/>
      <c r="OSG354" s="27"/>
      <c r="OSH354" s="27"/>
      <c r="OSI354" s="27"/>
      <c r="OSJ354" s="27"/>
      <c r="OSK354" s="27"/>
      <c r="OSL354" s="27"/>
      <c r="OSM354" s="27"/>
      <c r="OSN354" s="27"/>
      <c r="OSO354" s="27"/>
      <c r="OSP354" s="27"/>
      <c r="OSQ354" s="27"/>
      <c r="OSR354" s="27"/>
      <c r="OSS354" s="27"/>
      <c r="OST354" s="27"/>
      <c r="OSU354" s="27"/>
      <c r="OSV354" s="27"/>
      <c r="OSW354" s="27"/>
      <c r="OSX354" s="27"/>
      <c r="OSY354" s="27"/>
      <c r="OSZ354" s="27"/>
      <c r="OTA354" s="27"/>
      <c r="OTB354" s="27"/>
      <c r="OTC354" s="27"/>
      <c r="OTD354" s="27"/>
      <c r="OTE354" s="27"/>
      <c r="OTF354" s="27"/>
      <c r="OTG354" s="27"/>
      <c r="OTH354" s="27"/>
      <c r="OTI354" s="27"/>
      <c r="OTJ354" s="27"/>
      <c r="OTK354" s="27"/>
      <c r="OTL354" s="27"/>
      <c r="OTM354" s="27"/>
      <c r="OTN354" s="27"/>
      <c r="OTO354" s="27"/>
      <c r="OTP354" s="27"/>
      <c r="OTQ354" s="27"/>
      <c r="OTR354" s="27"/>
      <c r="OTS354" s="27"/>
      <c r="OTT354" s="27"/>
      <c r="OTU354" s="27"/>
      <c r="OTV354" s="27"/>
      <c r="OTW354" s="27"/>
      <c r="OTX354" s="27"/>
      <c r="OTY354" s="27"/>
      <c r="OTZ354" s="27"/>
      <c r="OUA354" s="27"/>
      <c r="OUB354" s="27"/>
      <c r="OUC354" s="27"/>
      <c r="OUD354" s="27"/>
      <c r="OUE354" s="27"/>
      <c r="OUF354" s="27"/>
      <c r="OUG354" s="27"/>
      <c r="OUH354" s="27"/>
      <c r="OUI354" s="27"/>
      <c r="OUJ354" s="27"/>
      <c r="OUK354" s="27"/>
      <c r="OUL354" s="27"/>
      <c r="OUM354" s="27"/>
      <c r="OUN354" s="27"/>
      <c r="OUO354" s="27"/>
      <c r="OUP354" s="27"/>
      <c r="OUQ354" s="27"/>
      <c r="OUR354" s="27"/>
      <c r="OUS354" s="27"/>
      <c r="OUT354" s="27"/>
      <c r="OUU354" s="27"/>
      <c r="OUV354" s="27"/>
      <c r="OUW354" s="27"/>
      <c r="OUX354" s="27"/>
      <c r="OUY354" s="27"/>
      <c r="OUZ354" s="27"/>
      <c r="OVA354" s="27"/>
      <c r="OVB354" s="27"/>
      <c r="OVC354" s="27"/>
      <c r="OVD354" s="27"/>
      <c r="OVE354" s="27"/>
      <c r="OVF354" s="27"/>
      <c r="OVG354" s="27"/>
      <c r="OVH354" s="27"/>
      <c r="OVI354" s="27"/>
      <c r="OVJ354" s="27"/>
      <c r="OVK354" s="27"/>
      <c r="OVL354" s="27"/>
      <c r="OVM354" s="27"/>
      <c r="OVN354" s="27"/>
      <c r="OVO354" s="27"/>
      <c r="OVP354" s="27"/>
      <c r="OVQ354" s="27"/>
      <c r="OVR354" s="27"/>
      <c r="OVS354" s="27"/>
      <c r="OVT354" s="27"/>
      <c r="OVU354" s="27"/>
      <c r="OVV354" s="27"/>
      <c r="OVW354" s="27"/>
      <c r="OVX354" s="27"/>
      <c r="OVY354" s="27"/>
      <c r="OVZ354" s="27"/>
      <c r="OWA354" s="27"/>
      <c r="OWB354" s="27"/>
      <c r="OWC354" s="27"/>
      <c r="OWD354" s="27"/>
      <c r="OWE354" s="27"/>
      <c r="OWF354" s="27"/>
      <c r="OWG354" s="27"/>
      <c r="OWH354" s="27"/>
      <c r="OWI354" s="27"/>
      <c r="OWJ354" s="27"/>
      <c r="OWK354" s="27"/>
      <c r="OWL354" s="27"/>
      <c r="OWM354" s="27"/>
      <c r="OWN354" s="27"/>
      <c r="OWO354" s="27"/>
      <c r="OWP354" s="27"/>
      <c r="OWQ354" s="27"/>
      <c r="OWR354" s="27"/>
      <c r="OWS354" s="27"/>
      <c r="OWT354" s="27"/>
      <c r="OWU354" s="27"/>
      <c r="OWV354" s="27"/>
      <c r="OWW354" s="27"/>
      <c r="OWX354" s="27"/>
      <c r="OWY354" s="27"/>
      <c r="OWZ354" s="27"/>
      <c r="OXA354" s="27"/>
      <c r="OXB354" s="27"/>
      <c r="OXC354" s="27"/>
      <c r="OXD354" s="27"/>
      <c r="OXE354" s="27"/>
      <c r="OXF354" s="27"/>
      <c r="OXG354" s="27"/>
      <c r="OXH354" s="27"/>
      <c r="OXI354" s="27"/>
      <c r="OXJ354" s="27"/>
      <c r="OXK354" s="27"/>
      <c r="OXL354" s="27"/>
      <c r="OXM354" s="27"/>
      <c r="OXN354" s="27"/>
      <c r="OXO354" s="27"/>
      <c r="OXP354" s="27"/>
      <c r="OXQ354" s="27"/>
      <c r="OXR354" s="27"/>
      <c r="OXS354" s="27"/>
      <c r="OXT354" s="27"/>
      <c r="OXU354" s="27"/>
      <c r="OXV354" s="27"/>
      <c r="OXW354" s="27"/>
      <c r="OXX354" s="27"/>
      <c r="OXY354" s="27"/>
      <c r="OXZ354" s="27"/>
      <c r="OYA354" s="27"/>
      <c r="OYB354" s="27"/>
      <c r="OYC354" s="27"/>
      <c r="OYD354" s="27"/>
      <c r="OYE354" s="27"/>
      <c r="OYF354" s="27"/>
      <c r="OYG354" s="27"/>
      <c r="OYH354" s="27"/>
      <c r="OYI354" s="27"/>
      <c r="OYJ354" s="27"/>
      <c r="OYK354" s="27"/>
      <c r="OYL354" s="27"/>
      <c r="OYM354" s="27"/>
      <c r="OYN354" s="27"/>
      <c r="OYO354" s="27"/>
      <c r="OYP354" s="27"/>
      <c r="OYQ354" s="27"/>
      <c r="OYR354" s="27"/>
      <c r="OYS354" s="27"/>
      <c r="OYT354" s="27"/>
      <c r="OYU354" s="27"/>
      <c r="OYV354" s="27"/>
      <c r="OYW354" s="27"/>
      <c r="OYX354" s="27"/>
      <c r="OYY354" s="27"/>
      <c r="OYZ354" s="27"/>
      <c r="OZA354" s="27"/>
      <c r="OZB354" s="27"/>
      <c r="OZC354" s="27"/>
      <c r="OZD354" s="27"/>
      <c r="OZE354" s="27"/>
      <c r="OZF354" s="27"/>
      <c r="OZG354" s="27"/>
      <c r="OZH354" s="27"/>
      <c r="OZI354" s="27"/>
      <c r="OZJ354" s="27"/>
      <c r="OZK354" s="27"/>
      <c r="OZL354" s="27"/>
      <c r="OZM354" s="27"/>
      <c r="OZN354" s="27"/>
      <c r="OZO354" s="27"/>
      <c r="OZP354" s="27"/>
      <c r="OZQ354" s="27"/>
      <c r="OZR354" s="27"/>
      <c r="OZS354" s="27"/>
      <c r="OZT354" s="27"/>
      <c r="OZU354" s="27"/>
      <c r="OZV354" s="27"/>
      <c r="OZW354" s="27"/>
      <c r="OZX354" s="27"/>
      <c r="OZY354" s="27"/>
      <c r="OZZ354" s="27"/>
      <c r="PAA354" s="27"/>
      <c r="PAB354" s="27"/>
      <c r="PAC354" s="27"/>
      <c r="PAD354" s="27"/>
      <c r="PAE354" s="27"/>
      <c r="PAF354" s="27"/>
      <c r="PAG354" s="27"/>
      <c r="PAH354" s="27"/>
      <c r="PAI354" s="27"/>
      <c r="PAJ354" s="27"/>
      <c r="PAK354" s="27"/>
      <c r="PAL354" s="27"/>
      <c r="PAM354" s="27"/>
      <c r="PAN354" s="27"/>
      <c r="PAO354" s="27"/>
      <c r="PAP354" s="27"/>
      <c r="PAQ354" s="27"/>
      <c r="PAR354" s="27"/>
      <c r="PAS354" s="27"/>
      <c r="PAT354" s="27"/>
      <c r="PAU354" s="27"/>
      <c r="PAV354" s="27"/>
      <c r="PAW354" s="27"/>
      <c r="PAX354" s="27"/>
      <c r="PAY354" s="27"/>
      <c r="PAZ354" s="27"/>
      <c r="PBA354" s="27"/>
      <c r="PBB354" s="27"/>
      <c r="PBC354" s="27"/>
      <c r="PBD354" s="27"/>
      <c r="PBE354" s="27"/>
      <c r="PBF354" s="27"/>
      <c r="PBG354" s="27"/>
      <c r="PBH354" s="27"/>
      <c r="PBI354" s="27"/>
      <c r="PBJ354" s="27"/>
      <c r="PBK354" s="27"/>
      <c r="PBL354" s="27"/>
      <c r="PBM354" s="27"/>
      <c r="PBN354" s="27"/>
      <c r="PBO354" s="27"/>
      <c r="PBP354" s="27"/>
      <c r="PBQ354" s="27"/>
      <c r="PBR354" s="27"/>
      <c r="PBS354" s="27"/>
      <c r="PBT354" s="27"/>
      <c r="PBU354" s="27"/>
      <c r="PBV354" s="27"/>
      <c r="PBW354" s="27"/>
      <c r="PBX354" s="27"/>
      <c r="PBY354" s="27"/>
      <c r="PBZ354" s="27"/>
      <c r="PCA354" s="27"/>
      <c r="PCB354" s="27"/>
      <c r="PCC354" s="27"/>
      <c r="PCD354" s="27"/>
      <c r="PCE354" s="27"/>
      <c r="PCF354" s="27"/>
      <c r="PCG354" s="27"/>
      <c r="PCH354" s="27"/>
      <c r="PCI354" s="27"/>
      <c r="PCJ354" s="27"/>
      <c r="PCK354" s="27"/>
      <c r="PCL354" s="27"/>
      <c r="PCM354" s="27"/>
      <c r="PCN354" s="27"/>
      <c r="PCO354" s="27"/>
      <c r="PCP354" s="27"/>
      <c r="PCQ354" s="27"/>
      <c r="PCR354" s="27"/>
      <c r="PCS354" s="27"/>
      <c r="PCT354" s="27"/>
      <c r="PCU354" s="27"/>
      <c r="PCV354" s="27"/>
      <c r="PCW354" s="27"/>
      <c r="PCX354" s="27"/>
      <c r="PCY354" s="27"/>
      <c r="PCZ354" s="27"/>
      <c r="PDA354" s="27"/>
      <c r="PDB354" s="27"/>
      <c r="PDC354" s="27"/>
      <c r="PDD354" s="27"/>
      <c r="PDE354" s="27"/>
      <c r="PDF354" s="27"/>
      <c r="PDG354" s="27"/>
      <c r="PDH354" s="27"/>
      <c r="PDI354" s="27"/>
      <c r="PDJ354" s="27"/>
      <c r="PDK354" s="27"/>
      <c r="PDL354" s="27"/>
      <c r="PDM354" s="27"/>
      <c r="PDN354" s="27"/>
      <c r="PDO354" s="27"/>
      <c r="PDP354" s="27"/>
      <c r="PDQ354" s="27"/>
      <c r="PDR354" s="27"/>
      <c r="PDS354" s="27"/>
      <c r="PDT354" s="27"/>
      <c r="PDU354" s="27"/>
      <c r="PDV354" s="27"/>
      <c r="PDW354" s="27"/>
      <c r="PDX354" s="27"/>
      <c r="PDY354" s="27"/>
      <c r="PDZ354" s="27"/>
      <c r="PEA354" s="27"/>
      <c r="PEB354" s="27"/>
      <c r="PEC354" s="27"/>
      <c r="PED354" s="27"/>
      <c r="PEE354" s="27"/>
      <c r="PEF354" s="27"/>
      <c r="PEG354" s="27"/>
      <c r="PEH354" s="27"/>
      <c r="PEI354" s="27"/>
      <c r="PEJ354" s="27"/>
      <c r="PEK354" s="27"/>
      <c r="PEL354" s="27"/>
      <c r="PEM354" s="27"/>
      <c r="PEN354" s="27"/>
      <c r="PEO354" s="27"/>
      <c r="PEP354" s="27"/>
      <c r="PEQ354" s="27"/>
      <c r="PER354" s="27"/>
      <c r="PES354" s="27"/>
      <c r="PET354" s="27"/>
      <c r="PEU354" s="27"/>
      <c r="PEV354" s="27"/>
      <c r="PEW354" s="27"/>
      <c r="PEX354" s="27"/>
      <c r="PEY354" s="27"/>
      <c r="PEZ354" s="27"/>
      <c r="PFA354" s="27"/>
      <c r="PFB354" s="27"/>
      <c r="PFC354" s="27"/>
      <c r="PFD354" s="27"/>
      <c r="PFE354" s="27"/>
      <c r="PFF354" s="27"/>
      <c r="PFG354" s="27"/>
      <c r="PFH354" s="27"/>
      <c r="PFI354" s="27"/>
      <c r="PFJ354" s="27"/>
      <c r="PFK354" s="27"/>
      <c r="PFL354" s="27"/>
      <c r="PFM354" s="27"/>
      <c r="PFN354" s="27"/>
      <c r="PFO354" s="27"/>
      <c r="PFP354" s="27"/>
      <c r="PFQ354" s="27"/>
      <c r="PFR354" s="27"/>
      <c r="PFS354" s="27"/>
      <c r="PFT354" s="27"/>
      <c r="PFU354" s="27"/>
      <c r="PFV354" s="27"/>
      <c r="PFW354" s="27"/>
      <c r="PFX354" s="27"/>
      <c r="PFY354" s="27"/>
      <c r="PFZ354" s="27"/>
      <c r="PGA354" s="27"/>
      <c r="PGB354" s="27"/>
      <c r="PGC354" s="27"/>
      <c r="PGD354" s="27"/>
      <c r="PGE354" s="27"/>
      <c r="PGF354" s="27"/>
      <c r="PGG354" s="27"/>
      <c r="PGH354" s="27"/>
      <c r="PGI354" s="27"/>
      <c r="PGJ354" s="27"/>
      <c r="PGK354" s="27"/>
      <c r="PGL354" s="27"/>
      <c r="PGM354" s="27"/>
      <c r="PGN354" s="27"/>
      <c r="PGO354" s="27"/>
      <c r="PGP354" s="27"/>
      <c r="PGQ354" s="27"/>
      <c r="PGR354" s="27"/>
      <c r="PGS354" s="27"/>
      <c r="PGT354" s="27"/>
      <c r="PGU354" s="27"/>
      <c r="PGV354" s="27"/>
      <c r="PGW354" s="27"/>
      <c r="PGX354" s="27"/>
      <c r="PGY354" s="27"/>
      <c r="PGZ354" s="27"/>
      <c r="PHA354" s="27"/>
      <c r="PHB354" s="27"/>
      <c r="PHC354" s="27"/>
      <c r="PHD354" s="27"/>
      <c r="PHE354" s="27"/>
      <c r="PHF354" s="27"/>
      <c r="PHG354" s="27"/>
      <c r="PHH354" s="27"/>
      <c r="PHI354" s="27"/>
      <c r="PHJ354" s="27"/>
      <c r="PHK354" s="27"/>
      <c r="PHL354" s="27"/>
      <c r="PHM354" s="27"/>
      <c r="PHN354" s="27"/>
      <c r="PHO354" s="27"/>
      <c r="PHP354" s="27"/>
      <c r="PHQ354" s="27"/>
      <c r="PHR354" s="27"/>
      <c r="PHS354" s="27"/>
      <c r="PHT354" s="27"/>
      <c r="PHU354" s="27"/>
      <c r="PHV354" s="27"/>
      <c r="PHW354" s="27"/>
      <c r="PHX354" s="27"/>
      <c r="PHY354" s="27"/>
      <c r="PHZ354" s="27"/>
      <c r="PIA354" s="27"/>
      <c r="PIB354" s="27"/>
      <c r="PIC354" s="27"/>
      <c r="PID354" s="27"/>
      <c r="PIE354" s="27"/>
      <c r="PIF354" s="27"/>
      <c r="PIG354" s="27"/>
      <c r="PIH354" s="27"/>
      <c r="PII354" s="27"/>
      <c r="PIJ354" s="27"/>
      <c r="PIK354" s="27"/>
      <c r="PIL354" s="27"/>
      <c r="PIM354" s="27"/>
      <c r="PIN354" s="27"/>
      <c r="PIO354" s="27"/>
      <c r="PIP354" s="27"/>
      <c r="PIQ354" s="27"/>
      <c r="PIR354" s="27"/>
      <c r="PIS354" s="27"/>
      <c r="PIT354" s="27"/>
      <c r="PIU354" s="27"/>
      <c r="PIV354" s="27"/>
      <c r="PIW354" s="27"/>
      <c r="PIX354" s="27"/>
      <c r="PIY354" s="27"/>
      <c r="PIZ354" s="27"/>
      <c r="PJA354" s="27"/>
      <c r="PJB354" s="27"/>
      <c r="PJC354" s="27"/>
      <c r="PJD354" s="27"/>
      <c r="PJE354" s="27"/>
      <c r="PJF354" s="27"/>
      <c r="PJG354" s="27"/>
      <c r="PJH354" s="27"/>
      <c r="PJI354" s="27"/>
      <c r="PJJ354" s="27"/>
      <c r="PJK354" s="27"/>
      <c r="PJL354" s="27"/>
      <c r="PJM354" s="27"/>
      <c r="PJN354" s="27"/>
      <c r="PJO354" s="27"/>
      <c r="PJP354" s="27"/>
      <c r="PJQ354" s="27"/>
      <c r="PJR354" s="27"/>
      <c r="PJS354" s="27"/>
      <c r="PJT354" s="27"/>
      <c r="PJU354" s="27"/>
      <c r="PJV354" s="27"/>
      <c r="PJW354" s="27"/>
      <c r="PJX354" s="27"/>
      <c r="PJY354" s="27"/>
      <c r="PJZ354" s="27"/>
      <c r="PKA354" s="27"/>
      <c r="PKB354" s="27"/>
      <c r="PKC354" s="27"/>
      <c r="PKD354" s="27"/>
      <c r="PKE354" s="27"/>
      <c r="PKF354" s="27"/>
      <c r="PKG354" s="27"/>
      <c r="PKH354" s="27"/>
      <c r="PKI354" s="27"/>
      <c r="PKJ354" s="27"/>
      <c r="PKK354" s="27"/>
      <c r="PKL354" s="27"/>
      <c r="PKM354" s="27"/>
      <c r="PKN354" s="27"/>
      <c r="PKO354" s="27"/>
      <c r="PKP354" s="27"/>
      <c r="PKQ354" s="27"/>
      <c r="PKR354" s="27"/>
      <c r="PKS354" s="27"/>
      <c r="PKT354" s="27"/>
      <c r="PKU354" s="27"/>
      <c r="PKV354" s="27"/>
      <c r="PKW354" s="27"/>
      <c r="PKX354" s="27"/>
      <c r="PKY354" s="27"/>
      <c r="PKZ354" s="27"/>
      <c r="PLA354" s="27"/>
      <c r="PLB354" s="27"/>
      <c r="PLC354" s="27"/>
      <c r="PLD354" s="27"/>
      <c r="PLE354" s="27"/>
      <c r="PLF354" s="27"/>
      <c r="PLG354" s="27"/>
      <c r="PLH354" s="27"/>
      <c r="PLI354" s="27"/>
      <c r="PLJ354" s="27"/>
      <c r="PLK354" s="27"/>
      <c r="PLL354" s="27"/>
      <c r="PLM354" s="27"/>
      <c r="PLN354" s="27"/>
      <c r="PLO354" s="27"/>
      <c r="PLP354" s="27"/>
      <c r="PLQ354" s="27"/>
      <c r="PLR354" s="27"/>
      <c r="PLS354" s="27"/>
      <c r="PLT354" s="27"/>
      <c r="PLU354" s="27"/>
      <c r="PLV354" s="27"/>
      <c r="PLW354" s="27"/>
      <c r="PLX354" s="27"/>
      <c r="PLY354" s="27"/>
      <c r="PLZ354" s="27"/>
      <c r="PMA354" s="27"/>
      <c r="PMB354" s="27"/>
      <c r="PMC354" s="27"/>
      <c r="PMD354" s="27"/>
      <c r="PME354" s="27"/>
      <c r="PMF354" s="27"/>
      <c r="PMG354" s="27"/>
      <c r="PMH354" s="27"/>
      <c r="PMI354" s="27"/>
      <c r="PMJ354" s="27"/>
      <c r="PMK354" s="27"/>
      <c r="PML354" s="27"/>
      <c r="PMM354" s="27"/>
      <c r="PMN354" s="27"/>
      <c r="PMO354" s="27"/>
      <c r="PMP354" s="27"/>
      <c r="PMQ354" s="27"/>
      <c r="PMR354" s="27"/>
      <c r="PMS354" s="27"/>
      <c r="PMT354" s="27"/>
      <c r="PMU354" s="27"/>
      <c r="PMV354" s="27"/>
      <c r="PMW354" s="27"/>
      <c r="PMX354" s="27"/>
      <c r="PMY354" s="27"/>
      <c r="PMZ354" s="27"/>
      <c r="PNA354" s="27"/>
      <c r="PNB354" s="27"/>
      <c r="PNC354" s="27"/>
      <c r="PND354" s="27"/>
      <c r="PNE354" s="27"/>
      <c r="PNF354" s="27"/>
      <c r="PNG354" s="27"/>
      <c r="PNH354" s="27"/>
      <c r="PNI354" s="27"/>
      <c r="PNJ354" s="27"/>
      <c r="PNK354" s="27"/>
      <c r="PNL354" s="27"/>
      <c r="PNM354" s="27"/>
      <c r="PNN354" s="27"/>
      <c r="PNO354" s="27"/>
      <c r="PNP354" s="27"/>
      <c r="PNQ354" s="27"/>
      <c r="PNR354" s="27"/>
      <c r="PNS354" s="27"/>
      <c r="PNT354" s="27"/>
      <c r="PNU354" s="27"/>
      <c r="PNV354" s="27"/>
      <c r="PNW354" s="27"/>
      <c r="PNX354" s="27"/>
      <c r="PNY354" s="27"/>
      <c r="PNZ354" s="27"/>
      <c r="POA354" s="27"/>
      <c r="POB354" s="27"/>
      <c r="POC354" s="27"/>
      <c r="POD354" s="27"/>
      <c r="POE354" s="27"/>
      <c r="POF354" s="27"/>
      <c r="POG354" s="27"/>
      <c r="POH354" s="27"/>
      <c r="POI354" s="27"/>
      <c r="POJ354" s="27"/>
      <c r="POK354" s="27"/>
      <c r="POL354" s="27"/>
      <c r="POM354" s="27"/>
      <c r="PON354" s="27"/>
      <c r="POO354" s="27"/>
      <c r="POP354" s="27"/>
      <c r="POQ354" s="27"/>
      <c r="POR354" s="27"/>
      <c r="POS354" s="27"/>
      <c r="POT354" s="27"/>
      <c r="POU354" s="27"/>
      <c r="POV354" s="27"/>
      <c r="POW354" s="27"/>
      <c r="POX354" s="27"/>
      <c r="POY354" s="27"/>
      <c r="POZ354" s="27"/>
      <c r="PPA354" s="27"/>
      <c r="PPB354" s="27"/>
      <c r="PPC354" s="27"/>
      <c r="PPD354" s="27"/>
      <c r="PPE354" s="27"/>
      <c r="PPF354" s="27"/>
      <c r="PPG354" s="27"/>
      <c r="PPH354" s="27"/>
      <c r="PPI354" s="27"/>
      <c r="PPJ354" s="27"/>
      <c r="PPK354" s="27"/>
      <c r="PPL354" s="27"/>
      <c r="PPM354" s="27"/>
      <c r="PPN354" s="27"/>
      <c r="PPO354" s="27"/>
      <c r="PPP354" s="27"/>
      <c r="PPQ354" s="27"/>
      <c r="PPR354" s="27"/>
      <c r="PPS354" s="27"/>
      <c r="PPT354" s="27"/>
      <c r="PPU354" s="27"/>
      <c r="PPV354" s="27"/>
      <c r="PPW354" s="27"/>
      <c r="PPX354" s="27"/>
      <c r="PPY354" s="27"/>
      <c r="PPZ354" s="27"/>
      <c r="PQA354" s="27"/>
      <c r="PQB354" s="27"/>
      <c r="PQC354" s="27"/>
      <c r="PQD354" s="27"/>
      <c r="PQE354" s="27"/>
      <c r="PQF354" s="27"/>
      <c r="PQG354" s="27"/>
      <c r="PQH354" s="27"/>
      <c r="PQI354" s="27"/>
      <c r="PQJ354" s="27"/>
      <c r="PQK354" s="27"/>
      <c r="PQL354" s="27"/>
      <c r="PQM354" s="27"/>
      <c r="PQN354" s="27"/>
      <c r="PQO354" s="27"/>
      <c r="PQP354" s="27"/>
      <c r="PQQ354" s="27"/>
      <c r="PQR354" s="27"/>
      <c r="PQS354" s="27"/>
      <c r="PQT354" s="27"/>
      <c r="PQU354" s="27"/>
      <c r="PQV354" s="27"/>
      <c r="PQW354" s="27"/>
      <c r="PQX354" s="27"/>
      <c r="PQY354" s="27"/>
      <c r="PQZ354" s="27"/>
      <c r="PRA354" s="27"/>
      <c r="PRB354" s="27"/>
      <c r="PRC354" s="27"/>
      <c r="PRD354" s="27"/>
      <c r="PRE354" s="27"/>
      <c r="PRF354" s="27"/>
      <c r="PRG354" s="27"/>
      <c r="PRH354" s="27"/>
      <c r="PRI354" s="27"/>
      <c r="PRJ354" s="27"/>
      <c r="PRK354" s="27"/>
      <c r="PRL354" s="27"/>
      <c r="PRM354" s="27"/>
      <c r="PRN354" s="27"/>
      <c r="PRO354" s="27"/>
      <c r="PRP354" s="27"/>
      <c r="PRQ354" s="27"/>
      <c r="PRR354" s="27"/>
      <c r="PRS354" s="27"/>
      <c r="PRT354" s="27"/>
      <c r="PRU354" s="27"/>
      <c r="PRV354" s="27"/>
      <c r="PRW354" s="27"/>
      <c r="PRX354" s="27"/>
      <c r="PRY354" s="27"/>
      <c r="PRZ354" s="27"/>
      <c r="PSA354" s="27"/>
      <c r="PSB354" s="27"/>
      <c r="PSC354" s="27"/>
      <c r="PSD354" s="27"/>
      <c r="PSE354" s="27"/>
      <c r="PSF354" s="27"/>
      <c r="PSG354" s="27"/>
      <c r="PSH354" s="27"/>
      <c r="PSI354" s="27"/>
      <c r="PSJ354" s="27"/>
      <c r="PSK354" s="27"/>
      <c r="PSL354" s="27"/>
      <c r="PSM354" s="27"/>
      <c r="PSN354" s="27"/>
      <c r="PSO354" s="27"/>
      <c r="PSP354" s="27"/>
      <c r="PSQ354" s="27"/>
      <c r="PSR354" s="27"/>
      <c r="PSS354" s="27"/>
      <c r="PST354" s="27"/>
      <c r="PSU354" s="27"/>
      <c r="PSV354" s="27"/>
      <c r="PSW354" s="27"/>
      <c r="PSX354" s="27"/>
      <c r="PSY354" s="27"/>
      <c r="PSZ354" s="27"/>
      <c r="PTA354" s="27"/>
      <c r="PTB354" s="27"/>
      <c r="PTC354" s="27"/>
      <c r="PTD354" s="27"/>
      <c r="PTE354" s="27"/>
      <c r="PTF354" s="27"/>
      <c r="PTG354" s="27"/>
      <c r="PTH354" s="27"/>
      <c r="PTI354" s="27"/>
      <c r="PTJ354" s="27"/>
      <c r="PTK354" s="27"/>
      <c r="PTL354" s="27"/>
      <c r="PTM354" s="27"/>
      <c r="PTN354" s="27"/>
      <c r="PTO354" s="27"/>
      <c r="PTP354" s="27"/>
      <c r="PTQ354" s="27"/>
      <c r="PTR354" s="27"/>
      <c r="PTS354" s="27"/>
      <c r="PTT354" s="27"/>
      <c r="PTU354" s="27"/>
      <c r="PTV354" s="27"/>
      <c r="PTW354" s="27"/>
      <c r="PTX354" s="27"/>
      <c r="PTY354" s="27"/>
      <c r="PTZ354" s="27"/>
      <c r="PUA354" s="27"/>
      <c r="PUB354" s="27"/>
      <c r="PUC354" s="27"/>
      <c r="PUD354" s="27"/>
      <c r="PUE354" s="27"/>
      <c r="PUF354" s="27"/>
      <c r="PUG354" s="27"/>
      <c r="PUH354" s="27"/>
      <c r="PUI354" s="27"/>
      <c r="PUJ354" s="27"/>
      <c r="PUK354" s="27"/>
      <c r="PUL354" s="27"/>
      <c r="PUM354" s="27"/>
      <c r="PUN354" s="27"/>
      <c r="PUO354" s="27"/>
      <c r="PUP354" s="27"/>
      <c r="PUQ354" s="27"/>
      <c r="PUR354" s="27"/>
      <c r="PUS354" s="27"/>
      <c r="PUT354" s="27"/>
      <c r="PUU354" s="27"/>
      <c r="PUV354" s="27"/>
      <c r="PUW354" s="27"/>
      <c r="PUX354" s="27"/>
      <c r="PUY354" s="27"/>
      <c r="PUZ354" s="27"/>
      <c r="PVA354" s="27"/>
      <c r="PVB354" s="27"/>
      <c r="PVC354" s="27"/>
      <c r="PVD354" s="27"/>
      <c r="PVE354" s="27"/>
      <c r="PVF354" s="27"/>
      <c r="PVG354" s="27"/>
      <c r="PVH354" s="27"/>
      <c r="PVI354" s="27"/>
      <c r="PVJ354" s="27"/>
      <c r="PVK354" s="27"/>
      <c r="PVL354" s="27"/>
      <c r="PVM354" s="27"/>
      <c r="PVN354" s="27"/>
      <c r="PVO354" s="27"/>
      <c r="PVP354" s="27"/>
      <c r="PVQ354" s="27"/>
      <c r="PVR354" s="27"/>
      <c r="PVS354" s="27"/>
      <c r="PVT354" s="27"/>
      <c r="PVU354" s="27"/>
      <c r="PVV354" s="27"/>
      <c r="PVW354" s="27"/>
      <c r="PVX354" s="27"/>
      <c r="PVY354" s="27"/>
      <c r="PVZ354" s="27"/>
      <c r="PWA354" s="27"/>
      <c r="PWB354" s="27"/>
      <c r="PWC354" s="27"/>
      <c r="PWD354" s="27"/>
      <c r="PWE354" s="27"/>
      <c r="PWF354" s="27"/>
      <c r="PWG354" s="27"/>
      <c r="PWH354" s="27"/>
      <c r="PWI354" s="27"/>
      <c r="PWJ354" s="27"/>
      <c r="PWK354" s="27"/>
      <c r="PWL354" s="27"/>
      <c r="PWM354" s="27"/>
      <c r="PWN354" s="27"/>
      <c r="PWO354" s="27"/>
      <c r="PWP354" s="27"/>
      <c r="PWQ354" s="27"/>
      <c r="PWR354" s="27"/>
      <c r="PWS354" s="27"/>
      <c r="PWT354" s="27"/>
      <c r="PWU354" s="27"/>
      <c r="PWV354" s="27"/>
      <c r="PWW354" s="27"/>
      <c r="PWX354" s="27"/>
      <c r="PWY354" s="27"/>
      <c r="PWZ354" s="27"/>
      <c r="PXA354" s="27"/>
      <c r="PXB354" s="27"/>
      <c r="PXC354" s="27"/>
      <c r="PXD354" s="27"/>
      <c r="PXE354" s="27"/>
      <c r="PXF354" s="27"/>
      <c r="PXG354" s="27"/>
      <c r="PXH354" s="27"/>
      <c r="PXI354" s="27"/>
      <c r="PXJ354" s="27"/>
      <c r="PXK354" s="27"/>
      <c r="PXL354" s="27"/>
      <c r="PXM354" s="27"/>
      <c r="PXN354" s="27"/>
      <c r="PXO354" s="27"/>
      <c r="PXP354" s="27"/>
      <c r="PXQ354" s="27"/>
      <c r="PXR354" s="27"/>
      <c r="PXS354" s="27"/>
      <c r="PXT354" s="27"/>
      <c r="PXU354" s="27"/>
      <c r="PXV354" s="27"/>
      <c r="PXW354" s="27"/>
      <c r="PXX354" s="27"/>
      <c r="PXY354" s="27"/>
      <c r="PXZ354" s="27"/>
      <c r="PYA354" s="27"/>
      <c r="PYB354" s="27"/>
      <c r="PYC354" s="27"/>
      <c r="PYD354" s="27"/>
      <c r="PYE354" s="27"/>
      <c r="PYF354" s="27"/>
      <c r="PYG354" s="27"/>
      <c r="PYH354" s="27"/>
      <c r="PYI354" s="27"/>
      <c r="PYJ354" s="27"/>
      <c r="PYK354" s="27"/>
      <c r="PYL354" s="27"/>
      <c r="PYM354" s="27"/>
      <c r="PYN354" s="27"/>
      <c r="PYO354" s="27"/>
      <c r="PYP354" s="27"/>
      <c r="PYQ354" s="27"/>
      <c r="PYR354" s="27"/>
      <c r="PYS354" s="27"/>
      <c r="PYT354" s="27"/>
      <c r="PYU354" s="27"/>
      <c r="PYV354" s="27"/>
      <c r="PYW354" s="27"/>
      <c r="PYX354" s="27"/>
      <c r="PYY354" s="27"/>
      <c r="PYZ354" s="27"/>
      <c r="PZA354" s="27"/>
      <c r="PZB354" s="27"/>
      <c r="PZC354" s="27"/>
      <c r="PZD354" s="27"/>
      <c r="PZE354" s="27"/>
      <c r="PZF354" s="27"/>
      <c r="PZG354" s="27"/>
      <c r="PZH354" s="27"/>
      <c r="PZI354" s="27"/>
      <c r="PZJ354" s="27"/>
      <c r="PZK354" s="27"/>
      <c r="PZL354" s="27"/>
      <c r="PZM354" s="27"/>
      <c r="PZN354" s="27"/>
      <c r="PZO354" s="27"/>
      <c r="PZP354" s="27"/>
      <c r="PZQ354" s="27"/>
      <c r="PZR354" s="27"/>
      <c r="PZS354" s="27"/>
      <c r="PZT354" s="27"/>
      <c r="PZU354" s="27"/>
      <c r="PZV354" s="27"/>
      <c r="PZW354" s="27"/>
      <c r="PZX354" s="27"/>
      <c r="PZY354" s="27"/>
      <c r="PZZ354" s="27"/>
      <c r="QAA354" s="27"/>
      <c r="QAB354" s="27"/>
      <c r="QAC354" s="27"/>
      <c r="QAD354" s="27"/>
      <c r="QAE354" s="27"/>
      <c r="QAF354" s="27"/>
      <c r="QAG354" s="27"/>
      <c r="QAH354" s="27"/>
      <c r="QAI354" s="27"/>
      <c r="QAJ354" s="27"/>
      <c r="QAK354" s="27"/>
      <c r="QAL354" s="27"/>
      <c r="QAM354" s="27"/>
      <c r="QAN354" s="27"/>
      <c r="QAO354" s="27"/>
      <c r="QAP354" s="27"/>
      <c r="QAQ354" s="27"/>
      <c r="QAR354" s="27"/>
      <c r="QAS354" s="27"/>
      <c r="QAT354" s="27"/>
      <c r="QAU354" s="27"/>
      <c r="QAV354" s="27"/>
      <c r="QAW354" s="27"/>
      <c r="QAX354" s="27"/>
      <c r="QAY354" s="27"/>
      <c r="QAZ354" s="27"/>
      <c r="QBA354" s="27"/>
      <c r="QBB354" s="27"/>
      <c r="QBC354" s="27"/>
      <c r="QBD354" s="27"/>
      <c r="QBE354" s="27"/>
      <c r="QBF354" s="27"/>
      <c r="QBG354" s="27"/>
      <c r="QBH354" s="27"/>
      <c r="QBI354" s="27"/>
      <c r="QBJ354" s="27"/>
      <c r="QBK354" s="27"/>
      <c r="QBL354" s="27"/>
      <c r="QBM354" s="27"/>
      <c r="QBN354" s="27"/>
      <c r="QBO354" s="27"/>
      <c r="QBP354" s="27"/>
      <c r="QBQ354" s="27"/>
      <c r="QBR354" s="27"/>
      <c r="QBS354" s="27"/>
      <c r="QBT354" s="27"/>
      <c r="QBU354" s="27"/>
      <c r="QBV354" s="27"/>
      <c r="QBW354" s="27"/>
      <c r="QBX354" s="27"/>
      <c r="QBY354" s="27"/>
      <c r="QBZ354" s="27"/>
      <c r="QCA354" s="27"/>
      <c r="QCB354" s="27"/>
      <c r="QCC354" s="27"/>
      <c r="QCD354" s="27"/>
      <c r="QCE354" s="27"/>
      <c r="QCF354" s="27"/>
      <c r="QCG354" s="27"/>
      <c r="QCH354" s="27"/>
      <c r="QCI354" s="27"/>
      <c r="QCJ354" s="27"/>
      <c r="QCK354" s="27"/>
      <c r="QCL354" s="27"/>
      <c r="QCM354" s="27"/>
      <c r="QCN354" s="27"/>
      <c r="QCO354" s="27"/>
      <c r="QCP354" s="27"/>
      <c r="QCQ354" s="27"/>
      <c r="QCR354" s="27"/>
      <c r="QCS354" s="27"/>
      <c r="QCT354" s="27"/>
      <c r="QCU354" s="27"/>
      <c r="QCV354" s="27"/>
      <c r="QCW354" s="27"/>
      <c r="QCX354" s="27"/>
      <c r="QCY354" s="27"/>
      <c r="QCZ354" s="27"/>
      <c r="QDA354" s="27"/>
      <c r="QDB354" s="27"/>
      <c r="QDC354" s="27"/>
      <c r="QDD354" s="27"/>
      <c r="QDE354" s="27"/>
      <c r="QDF354" s="27"/>
      <c r="QDG354" s="27"/>
      <c r="QDH354" s="27"/>
      <c r="QDI354" s="27"/>
      <c r="QDJ354" s="27"/>
      <c r="QDK354" s="27"/>
      <c r="QDL354" s="27"/>
      <c r="QDM354" s="27"/>
      <c r="QDN354" s="27"/>
      <c r="QDO354" s="27"/>
      <c r="QDP354" s="27"/>
      <c r="QDQ354" s="27"/>
      <c r="QDR354" s="27"/>
      <c r="QDS354" s="27"/>
      <c r="QDT354" s="27"/>
      <c r="QDU354" s="27"/>
      <c r="QDV354" s="27"/>
      <c r="QDW354" s="27"/>
      <c r="QDX354" s="27"/>
      <c r="QDY354" s="27"/>
      <c r="QDZ354" s="27"/>
      <c r="QEA354" s="27"/>
      <c r="QEB354" s="27"/>
      <c r="QEC354" s="27"/>
      <c r="QED354" s="27"/>
      <c r="QEE354" s="27"/>
      <c r="QEF354" s="27"/>
      <c r="QEG354" s="27"/>
      <c r="QEH354" s="27"/>
      <c r="QEI354" s="27"/>
      <c r="QEJ354" s="27"/>
      <c r="QEK354" s="27"/>
      <c r="QEL354" s="27"/>
      <c r="QEM354" s="27"/>
      <c r="QEN354" s="27"/>
      <c r="QEO354" s="27"/>
      <c r="QEP354" s="27"/>
      <c r="QEQ354" s="27"/>
      <c r="QER354" s="27"/>
      <c r="QES354" s="27"/>
      <c r="QET354" s="27"/>
      <c r="QEU354" s="27"/>
      <c r="QEV354" s="27"/>
      <c r="QEW354" s="27"/>
      <c r="QEX354" s="27"/>
      <c r="QEY354" s="27"/>
      <c r="QEZ354" s="27"/>
      <c r="QFA354" s="27"/>
      <c r="QFB354" s="27"/>
      <c r="QFC354" s="27"/>
      <c r="QFD354" s="27"/>
      <c r="QFE354" s="27"/>
      <c r="QFF354" s="27"/>
      <c r="QFG354" s="27"/>
      <c r="QFH354" s="27"/>
      <c r="QFI354" s="27"/>
      <c r="QFJ354" s="27"/>
      <c r="QFK354" s="27"/>
      <c r="QFL354" s="27"/>
      <c r="QFM354" s="27"/>
      <c r="QFN354" s="27"/>
      <c r="QFO354" s="27"/>
      <c r="QFP354" s="27"/>
      <c r="QFQ354" s="27"/>
      <c r="QFR354" s="27"/>
      <c r="QFS354" s="27"/>
      <c r="QFT354" s="27"/>
      <c r="QFU354" s="27"/>
      <c r="QFV354" s="27"/>
      <c r="QFW354" s="27"/>
      <c r="QFX354" s="27"/>
      <c r="QFY354" s="27"/>
      <c r="QFZ354" s="27"/>
      <c r="QGA354" s="27"/>
      <c r="QGB354" s="27"/>
      <c r="QGC354" s="27"/>
      <c r="QGD354" s="27"/>
      <c r="QGE354" s="27"/>
      <c r="QGF354" s="27"/>
      <c r="QGG354" s="27"/>
      <c r="QGH354" s="27"/>
      <c r="QGI354" s="27"/>
      <c r="QGJ354" s="27"/>
      <c r="QGK354" s="27"/>
      <c r="QGL354" s="27"/>
      <c r="QGM354" s="27"/>
      <c r="QGN354" s="27"/>
      <c r="QGO354" s="27"/>
      <c r="QGP354" s="27"/>
      <c r="QGQ354" s="27"/>
      <c r="QGR354" s="27"/>
      <c r="QGS354" s="27"/>
      <c r="QGT354" s="27"/>
      <c r="QGU354" s="27"/>
      <c r="QGV354" s="27"/>
      <c r="QGW354" s="27"/>
      <c r="QGX354" s="27"/>
      <c r="QGY354" s="27"/>
      <c r="QGZ354" s="27"/>
      <c r="QHA354" s="27"/>
      <c r="QHB354" s="27"/>
      <c r="QHC354" s="27"/>
      <c r="QHD354" s="27"/>
      <c r="QHE354" s="27"/>
      <c r="QHF354" s="27"/>
      <c r="QHG354" s="27"/>
      <c r="QHH354" s="27"/>
      <c r="QHI354" s="27"/>
      <c r="QHJ354" s="27"/>
      <c r="QHK354" s="27"/>
      <c r="QHL354" s="27"/>
      <c r="QHM354" s="27"/>
      <c r="QHN354" s="27"/>
      <c r="QHO354" s="27"/>
      <c r="QHP354" s="27"/>
      <c r="QHQ354" s="27"/>
      <c r="QHR354" s="27"/>
      <c r="QHS354" s="27"/>
      <c r="QHT354" s="27"/>
      <c r="QHU354" s="27"/>
      <c r="QHV354" s="27"/>
      <c r="QHW354" s="27"/>
      <c r="QHX354" s="27"/>
      <c r="QHY354" s="27"/>
      <c r="QHZ354" s="27"/>
      <c r="QIA354" s="27"/>
      <c r="QIB354" s="27"/>
      <c r="QIC354" s="27"/>
      <c r="QID354" s="27"/>
      <c r="QIE354" s="27"/>
      <c r="QIF354" s="27"/>
      <c r="QIG354" s="27"/>
      <c r="QIH354" s="27"/>
      <c r="QII354" s="27"/>
      <c r="QIJ354" s="27"/>
      <c r="QIK354" s="27"/>
      <c r="QIL354" s="27"/>
      <c r="QIM354" s="27"/>
      <c r="QIN354" s="27"/>
      <c r="QIO354" s="27"/>
      <c r="QIP354" s="27"/>
      <c r="QIQ354" s="27"/>
      <c r="QIR354" s="27"/>
      <c r="QIS354" s="27"/>
      <c r="QIT354" s="27"/>
      <c r="QIU354" s="27"/>
      <c r="QIV354" s="27"/>
      <c r="QIW354" s="27"/>
      <c r="QIX354" s="27"/>
      <c r="QIY354" s="27"/>
      <c r="QIZ354" s="27"/>
      <c r="QJA354" s="27"/>
      <c r="QJB354" s="27"/>
      <c r="QJC354" s="27"/>
      <c r="QJD354" s="27"/>
      <c r="QJE354" s="27"/>
      <c r="QJF354" s="27"/>
      <c r="QJG354" s="27"/>
      <c r="QJH354" s="27"/>
      <c r="QJI354" s="27"/>
      <c r="QJJ354" s="27"/>
      <c r="QJK354" s="27"/>
      <c r="QJL354" s="27"/>
      <c r="QJM354" s="27"/>
      <c r="QJN354" s="27"/>
      <c r="QJO354" s="27"/>
      <c r="QJP354" s="27"/>
      <c r="QJQ354" s="27"/>
      <c r="QJR354" s="27"/>
      <c r="QJS354" s="27"/>
      <c r="QJT354" s="27"/>
      <c r="QJU354" s="27"/>
      <c r="QJV354" s="27"/>
      <c r="QJW354" s="27"/>
      <c r="QJX354" s="27"/>
      <c r="QJY354" s="27"/>
      <c r="QJZ354" s="27"/>
      <c r="QKA354" s="27"/>
      <c r="QKB354" s="27"/>
      <c r="QKC354" s="27"/>
      <c r="QKD354" s="27"/>
      <c r="QKE354" s="27"/>
      <c r="QKF354" s="27"/>
      <c r="QKG354" s="27"/>
      <c r="QKH354" s="27"/>
      <c r="QKI354" s="27"/>
      <c r="QKJ354" s="27"/>
      <c r="QKK354" s="27"/>
      <c r="QKL354" s="27"/>
      <c r="QKM354" s="27"/>
      <c r="QKN354" s="27"/>
      <c r="QKO354" s="27"/>
      <c r="QKP354" s="27"/>
      <c r="QKQ354" s="27"/>
      <c r="QKR354" s="27"/>
      <c r="QKS354" s="27"/>
      <c r="QKT354" s="27"/>
      <c r="QKU354" s="27"/>
      <c r="QKV354" s="27"/>
      <c r="QKW354" s="27"/>
      <c r="QKX354" s="27"/>
      <c r="QKY354" s="27"/>
      <c r="QKZ354" s="27"/>
      <c r="QLA354" s="27"/>
      <c r="QLB354" s="27"/>
      <c r="QLC354" s="27"/>
      <c r="QLD354" s="27"/>
      <c r="QLE354" s="27"/>
      <c r="QLF354" s="27"/>
      <c r="QLG354" s="27"/>
      <c r="QLH354" s="27"/>
      <c r="QLI354" s="27"/>
      <c r="QLJ354" s="27"/>
      <c r="QLK354" s="27"/>
      <c r="QLL354" s="27"/>
      <c r="QLM354" s="27"/>
      <c r="QLN354" s="27"/>
      <c r="QLO354" s="27"/>
      <c r="QLP354" s="27"/>
      <c r="QLQ354" s="27"/>
      <c r="QLR354" s="27"/>
      <c r="QLS354" s="27"/>
      <c r="QLT354" s="27"/>
      <c r="QLU354" s="27"/>
      <c r="QLV354" s="27"/>
      <c r="QLW354" s="27"/>
      <c r="QLX354" s="27"/>
      <c r="QLY354" s="27"/>
      <c r="QLZ354" s="27"/>
      <c r="QMA354" s="27"/>
      <c r="QMB354" s="27"/>
      <c r="QMC354" s="27"/>
      <c r="QMD354" s="27"/>
      <c r="QME354" s="27"/>
      <c r="QMF354" s="27"/>
      <c r="QMG354" s="27"/>
      <c r="QMH354" s="27"/>
      <c r="QMI354" s="27"/>
      <c r="QMJ354" s="27"/>
      <c r="QMK354" s="27"/>
      <c r="QML354" s="27"/>
      <c r="QMM354" s="27"/>
      <c r="QMN354" s="27"/>
      <c r="QMO354" s="27"/>
      <c r="QMP354" s="27"/>
      <c r="QMQ354" s="27"/>
      <c r="QMR354" s="27"/>
      <c r="QMS354" s="27"/>
      <c r="QMT354" s="27"/>
      <c r="QMU354" s="27"/>
      <c r="QMV354" s="27"/>
      <c r="QMW354" s="27"/>
      <c r="QMX354" s="27"/>
      <c r="QMY354" s="27"/>
      <c r="QMZ354" s="27"/>
      <c r="QNA354" s="27"/>
      <c r="QNB354" s="27"/>
      <c r="QNC354" s="27"/>
      <c r="QND354" s="27"/>
      <c r="QNE354" s="27"/>
      <c r="QNF354" s="27"/>
      <c r="QNG354" s="27"/>
      <c r="QNH354" s="27"/>
      <c r="QNI354" s="27"/>
      <c r="QNJ354" s="27"/>
      <c r="QNK354" s="27"/>
      <c r="QNL354" s="27"/>
      <c r="QNM354" s="27"/>
      <c r="QNN354" s="27"/>
      <c r="QNO354" s="27"/>
      <c r="QNP354" s="27"/>
      <c r="QNQ354" s="27"/>
      <c r="QNR354" s="27"/>
      <c r="QNS354" s="27"/>
      <c r="QNT354" s="27"/>
      <c r="QNU354" s="27"/>
      <c r="QNV354" s="27"/>
      <c r="QNW354" s="27"/>
      <c r="QNX354" s="27"/>
      <c r="QNY354" s="27"/>
      <c r="QNZ354" s="27"/>
      <c r="QOA354" s="27"/>
      <c r="QOB354" s="27"/>
      <c r="QOC354" s="27"/>
      <c r="QOD354" s="27"/>
      <c r="QOE354" s="27"/>
      <c r="QOF354" s="27"/>
      <c r="QOG354" s="27"/>
      <c r="QOH354" s="27"/>
      <c r="QOI354" s="27"/>
      <c r="QOJ354" s="27"/>
      <c r="QOK354" s="27"/>
      <c r="QOL354" s="27"/>
      <c r="QOM354" s="27"/>
      <c r="QON354" s="27"/>
      <c r="QOO354" s="27"/>
      <c r="QOP354" s="27"/>
      <c r="QOQ354" s="27"/>
      <c r="QOR354" s="27"/>
      <c r="QOS354" s="27"/>
      <c r="QOT354" s="27"/>
      <c r="QOU354" s="27"/>
      <c r="QOV354" s="27"/>
      <c r="QOW354" s="27"/>
      <c r="QOX354" s="27"/>
      <c r="QOY354" s="27"/>
      <c r="QOZ354" s="27"/>
      <c r="QPA354" s="27"/>
      <c r="QPB354" s="27"/>
      <c r="QPC354" s="27"/>
      <c r="QPD354" s="27"/>
      <c r="QPE354" s="27"/>
      <c r="QPF354" s="27"/>
      <c r="QPG354" s="27"/>
      <c r="QPH354" s="27"/>
      <c r="QPI354" s="27"/>
      <c r="QPJ354" s="27"/>
      <c r="QPK354" s="27"/>
      <c r="QPL354" s="27"/>
      <c r="QPM354" s="27"/>
      <c r="QPN354" s="27"/>
      <c r="QPO354" s="27"/>
      <c r="QPP354" s="27"/>
      <c r="QPQ354" s="27"/>
      <c r="QPR354" s="27"/>
      <c r="QPS354" s="27"/>
      <c r="QPT354" s="27"/>
      <c r="QPU354" s="27"/>
      <c r="QPV354" s="27"/>
      <c r="QPW354" s="27"/>
      <c r="QPX354" s="27"/>
      <c r="QPY354" s="27"/>
      <c r="QPZ354" s="27"/>
      <c r="QQA354" s="27"/>
      <c r="QQB354" s="27"/>
      <c r="QQC354" s="27"/>
      <c r="QQD354" s="27"/>
      <c r="QQE354" s="27"/>
      <c r="QQF354" s="27"/>
      <c r="QQG354" s="27"/>
      <c r="QQH354" s="27"/>
      <c r="QQI354" s="27"/>
      <c r="QQJ354" s="27"/>
      <c r="QQK354" s="27"/>
      <c r="QQL354" s="27"/>
      <c r="QQM354" s="27"/>
      <c r="QQN354" s="27"/>
      <c r="QQO354" s="27"/>
      <c r="QQP354" s="27"/>
      <c r="QQQ354" s="27"/>
      <c r="QQR354" s="27"/>
      <c r="QQS354" s="27"/>
      <c r="QQT354" s="27"/>
      <c r="QQU354" s="27"/>
      <c r="QQV354" s="27"/>
      <c r="QQW354" s="27"/>
      <c r="QQX354" s="27"/>
      <c r="QQY354" s="27"/>
      <c r="QQZ354" s="27"/>
      <c r="QRA354" s="27"/>
      <c r="QRB354" s="27"/>
      <c r="QRC354" s="27"/>
      <c r="QRD354" s="27"/>
      <c r="QRE354" s="27"/>
      <c r="QRF354" s="27"/>
      <c r="QRG354" s="27"/>
      <c r="QRH354" s="27"/>
      <c r="QRI354" s="27"/>
      <c r="QRJ354" s="27"/>
      <c r="QRK354" s="27"/>
      <c r="QRL354" s="27"/>
      <c r="QRM354" s="27"/>
      <c r="QRN354" s="27"/>
      <c r="QRO354" s="27"/>
      <c r="QRP354" s="27"/>
      <c r="QRQ354" s="27"/>
      <c r="QRR354" s="27"/>
      <c r="QRS354" s="27"/>
      <c r="QRT354" s="27"/>
      <c r="QRU354" s="27"/>
      <c r="QRV354" s="27"/>
      <c r="QRW354" s="27"/>
      <c r="QRX354" s="27"/>
      <c r="QRY354" s="27"/>
      <c r="QRZ354" s="27"/>
      <c r="QSA354" s="27"/>
      <c r="QSB354" s="27"/>
      <c r="QSC354" s="27"/>
      <c r="QSD354" s="27"/>
      <c r="QSE354" s="27"/>
      <c r="QSF354" s="27"/>
      <c r="QSG354" s="27"/>
      <c r="QSH354" s="27"/>
      <c r="QSI354" s="27"/>
      <c r="QSJ354" s="27"/>
      <c r="QSK354" s="27"/>
      <c r="QSL354" s="27"/>
      <c r="QSM354" s="27"/>
      <c r="QSN354" s="27"/>
      <c r="QSO354" s="27"/>
      <c r="QSP354" s="27"/>
      <c r="QSQ354" s="27"/>
      <c r="QSR354" s="27"/>
      <c r="QSS354" s="27"/>
      <c r="QST354" s="27"/>
      <c r="QSU354" s="27"/>
      <c r="QSV354" s="27"/>
      <c r="QSW354" s="27"/>
      <c r="QSX354" s="27"/>
      <c r="QSY354" s="27"/>
      <c r="QSZ354" s="27"/>
      <c r="QTA354" s="27"/>
      <c r="QTB354" s="27"/>
      <c r="QTC354" s="27"/>
      <c r="QTD354" s="27"/>
      <c r="QTE354" s="27"/>
      <c r="QTF354" s="27"/>
      <c r="QTG354" s="27"/>
      <c r="QTH354" s="27"/>
      <c r="QTI354" s="27"/>
      <c r="QTJ354" s="27"/>
      <c r="QTK354" s="27"/>
      <c r="QTL354" s="27"/>
      <c r="QTM354" s="27"/>
      <c r="QTN354" s="27"/>
      <c r="QTO354" s="27"/>
      <c r="QTP354" s="27"/>
      <c r="QTQ354" s="27"/>
      <c r="QTR354" s="27"/>
      <c r="QTS354" s="27"/>
      <c r="QTT354" s="27"/>
      <c r="QTU354" s="27"/>
      <c r="QTV354" s="27"/>
      <c r="QTW354" s="27"/>
      <c r="QTX354" s="27"/>
      <c r="QTY354" s="27"/>
      <c r="QTZ354" s="27"/>
      <c r="QUA354" s="27"/>
      <c r="QUB354" s="27"/>
      <c r="QUC354" s="27"/>
      <c r="QUD354" s="27"/>
      <c r="QUE354" s="27"/>
      <c r="QUF354" s="27"/>
      <c r="QUG354" s="27"/>
      <c r="QUH354" s="27"/>
      <c r="QUI354" s="27"/>
      <c r="QUJ354" s="27"/>
      <c r="QUK354" s="27"/>
      <c r="QUL354" s="27"/>
      <c r="QUM354" s="27"/>
      <c r="QUN354" s="27"/>
      <c r="QUO354" s="27"/>
      <c r="QUP354" s="27"/>
      <c r="QUQ354" s="27"/>
      <c r="QUR354" s="27"/>
      <c r="QUS354" s="27"/>
      <c r="QUT354" s="27"/>
      <c r="QUU354" s="27"/>
      <c r="QUV354" s="27"/>
      <c r="QUW354" s="27"/>
      <c r="QUX354" s="27"/>
      <c r="QUY354" s="27"/>
      <c r="QUZ354" s="27"/>
      <c r="QVA354" s="27"/>
      <c r="QVB354" s="27"/>
      <c r="QVC354" s="27"/>
      <c r="QVD354" s="27"/>
      <c r="QVE354" s="27"/>
      <c r="QVF354" s="27"/>
      <c r="QVG354" s="27"/>
      <c r="QVH354" s="27"/>
      <c r="QVI354" s="27"/>
      <c r="QVJ354" s="27"/>
      <c r="QVK354" s="27"/>
      <c r="QVL354" s="27"/>
      <c r="QVM354" s="27"/>
      <c r="QVN354" s="27"/>
      <c r="QVO354" s="27"/>
      <c r="QVP354" s="27"/>
      <c r="QVQ354" s="27"/>
      <c r="QVR354" s="27"/>
      <c r="QVS354" s="27"/>
      <c r="QVT354" s="27"/>
      <c r="QVU354" s="27"/>
      <c r="QVV354" s="27"/>
      <c r="QVW354" s="27"/>
      <c r="QVX354" s="27"/>
      <c r="QVY354" s="27"/>
      <c r="QVZ354" s="27"/>
      <c r="QWA354" s="27"/>
      <c r="QWB354" s="27"/>
      <c r="QWC354" s="27"/>
      <c r="QWD354" s="27"/>
      <c r="QWE354" s="27"/>
      <c r="QWF354" s="27"/>
      <c r="QWG354" s="27"/>
      <c r="QWH354" s="27"/>
      <c r="QWI354" s="27"/>
      <c r="QWJ354" s="27"/>
      <c r="QWK354" s="27"/>
      <c r="QWL354" s="27"/>
      <c r="QWM354" s="27"/>
      <c r="QWN354" s="27"/>
      <c r="QWO354" s="27"/>
      <c r="QWP354" s="27"/>
      <c r="QWQ354" s="27"/>
      <c r="QWR354" s="27"/>
      <c r="QWS354" s="27"/>
      <c r="QWT354" s="27"/>
      <c r="QWU354" s="27"/>
      <c r="QWV354" s="27"/>
      <c r="QWW354" s="27"/>
      <c r="QWX354" s="27"/>
      <c r="QWY354" s="27"/>
      <c r="QWZ354" s="27"/>
      <c r="QXA354" s="27"/>
      <c r="QXB354" s="27"/>
      <c r="QXC354" s="27"/>
      <c r="QXD354" s="27"/>
      <c r="QXE354" s="27"/>
      <c r="QXF354" s="27"/>
      <c r="QXG354" s="27"/>
      <c r="QXH354" s="27"/>
      <c r="QXI354" s="27"/>
      <c r="QXJ354" s="27"/>
      <c r="QXK354" s="27"/>
      <c r="QXL354" s="27"/>
      <c r="QXM354" s="27"/>
      <c r="QXN354" s="27"/>
      <c r="QXO354" s="27"/>
      <c r="QXP354" s="27"/>
      <c r="QXQ354" s="27"/>
      <c r="QXR354" s="27"/>
      <c r="QXS354" s="27"/>
      <c r="QXT354" s="27"/>
      <c r="QXU354" s="27"/>
      <c r="QXV354" s="27"/>
      <c r="QXW354" s="27"/>
      <c r="QXX354" s="27"/>
      <c r="QXY354" s="27"/>
      <c r="QXZ354" s="27"/>
      <c r="QYA354" s="27"/>
      <c r="QYB354" s="27"/>
      <c r="QYC354" s="27"/>
      <c r="QYD354" s="27"/>
      <c r="QYE354" s="27"/>
      <c r="QYF354" s="27"/>
      <c r="QYG354" s="27"/>
      <c r="QYH354" s="27"/>
      <c r="QYI354" s="27"/>
      <c r="QYJ354" s="27"/>
      <c r="QYK354" s="27"/>
      <c r="QYL354" s="27"/>
      <c r="QYM354" s="27"/>
      <c r="QYN354" s="27"/>
      <c r="QYO354" s="27"/>
      <c r="QYP354" s="27"/>
      <c r="QYQ354" s="27"/>
      <c r="QYR354" s="27"/>
      <c r="QYS354" s="27"/>
      <c r="QYT354" s="27"/>
      <c r="QYU354" s="27"/>
      <c r="QYV354" s="27"/>
      <c r="QYW354" s="27"/>
      <c r="QYX354" s="27"/>
      <c r="QYY354" s="27"/>
      <c r="QYZ354" s="27"/>
      <c r="QZA354" s="27"/>
      <c r="QZB354" s="27"/>
      <c r="QZC354" s="27"/>
      <c r="QZD354" s="27"/>
      <c r="QZE354" s="27"/>
      <c r="QZF354" s="27"/>
      <c r="QZG354" s="27"/>
      <c r="QZH354" s="27"/>
      <c r="QZI354" s="27"/>
      <c r="QZJ354" s="27"/>
      <c r="QZK354" s="27"/>
      <c r="QZL354" s="27"/>
      <c r="QZM354" s="27"/>
      <c r="QZN354" s="27"/>
      <c r="QZO354" s="27"/>
      <c r="QZP354" s="27"/>
      <c r="QZQ354" s="27"/>
      <c r="QZR354" s="27"/>
      <c r="QZS354" s="27"/>
      <c r="QZT354" s="27"/>
      <c r="QZU354" s="27"/>
      <c r="QZV354" s="27"/>
      <c r="QZW354" s="27"/>
      <c r="QZX354" s="27"/>
      <c r="QZY354" s="27"/>
      <c r="QZZ354" s="27"/>
      <c r="RAA354" s="27"/>
      <c r="RAB354" s="27"/>
      <c r="RAC354" s="27"/>
      <c r="RAD354" s="27"/>
      <c r="RAE354" s="27"/>
      <c r="RAF354" s="27"/>
      <c r="RAG354" s="27"/>
      <c r="RAH354" s="27"/>
      <c r="RAI354" s="27"/>
      <c r="RAJ354" s="27"/>
      <c r="RAK354" s="27"/>
      <c r="RAL354" s="27"/>
      <c r="RAM354" s="27"/>
      <c r="RAN354" s="27"/>
      <c r="RAO354" s="27"/>
      <c r="RAP354" s="27"/>
      <c r="RAQ354" s="27"/>
      <c r="RAR354" s="27"/>
      <c r="RAS354" s="27"/>
      <c r="RAT354" s="27"/>
      <c r="RAU354" s="27"/>
      <c r="RAV354" s="27"/>
      <c r="RAW354" s="27"/>
      <c r="RAX354" s="27"/>
      <c r="RAY354" s="27"/>
      <c r="RAZ354" s="27"/>
      <c r="RBA354" s="27"/>
      <c r="RBB354" s="27"/>
      <c r="RBC354" s="27"/>
      <c r="RBD354" s="27"/>
      <c r="RBE354" s="27"/>
      <c r="RBF354" s="27"/>
      <c r="RBG354" s="27"/>
      <c r="RBH354" s="27"/>
      <c r="RBI354" s="27"/>
      <c r="RBJ354" s="27"/>
      <c r="RBK354" s="27"/>
      <c r="RBL354" s="27"/>
      <c r="RBM354" s="27"/>
      <c r="RBN354" s="27"/>
      <c r="RBO354" s="27"/>
      <c r="RBP354" s="27"/>
      <c r="RBQ354" s="27"/>
      <c r="RBR354" s="27"/>
      <c r="RBS354" s="27"/>
      <c r="RBT354" s="27"/>
      <c r="RBU354" s="27"/>
      <c r="RBV354" s="27"/>
      <c r="RBW354" s="27"/>
      <c r="RBX354" s="27"/>
      <c r="RBY354" s="27"/>
      <c r="RBZ354" s="27"/>
      <c r="RCA354" s="27"/>
      <c r="RCB354" s="27"/>
      <c r="RCC354" s="27"/>
      <c r="RCD354" s="27"/>
      <c r="RCE354" s="27"/>
      <c r="RCF354" s="27"/>
      <c r="RCG354" s="27"/>
      <c r="RCH354" s="27"/>
      <c r="RCI354" s="27"/>
      <c r="RCJ354" s="27"/>
      <c r="RCK354" s="27"/>
      <c r="RCL354" s="27"/>
      <c r="RCM354" s="27"/>
      <c r="RCN354" s="27"/>
      <c r="RCO354" s="27"/>
      <c r="RCP354" s="27"/>
      <c r="RCQ354" s="27"/>
      <c r="RCR354" s="27"/>
      <c r="RCS354" s="27"/>
      <c r="RCT354" s="27"/>
      <c r="RCU354" s="27"/>
      <c r="RCV354" s="27"/>
      <c r="RCW354" s="27"/>
      <c r="RCX354" s="27"/>
      <c r="RCY354" s="27"/>
      <c r="RCZ354" s="27"/>
      <c r="RDA354" s="27"/>
      <c r="RDB354" s="27"/>
      <c r="RDC354" s="27"/>
      <c r="RDD354" s="27"/>
      <c r="RDE354" s="27"/>
      <c r="RDF354" s="27"/>
      <c r="RDG354" s="27"/>
      <c r="RDH354" s="27"/>
      <c r="RDI354" s="27"/>
      <c r="RDJ354" s="27"/>
      <c r="RDK354" s="27"/>
      <c r="RDL354" s="27"/>
      <c r="RDM354" s="27"/>
      <c r="RDN354" s="27"/>
      <c r="RDO354" s="27"/>
      <c r="RDP354" s="27"/>
      <c r="RDQ354" s="27"/>
      <c r="RDR354" s="27"/>
      <c r="RDS354" s="27"/>
      <c r="RDT354" s="27"/>
      <c r="RDU354" s="27"/>
      <c r="RDV354" s="27"/>
      <c r="RDW354" s="27"/>
      <c r="RDX354" s="27"/>
      <c r="RDY354" s="27"/>
      <c r="RDZ354" s="27"/>
      <c r="REA354" s="27"/>
      <c r="REB354" s="27"/>
      <c r="REC354" s="27"/>
      <c r="RED354" s="27"/>
      <c r="REE354" s="27"/>
      <c r="REF354" s="27"/>
      <c r="REG354" s="27"/>
      <c r="REH354" s="27"/>
      <c r="REI354" s="27"/>
      <c r="REJ354" s="27"/>
      <c r="REK354" s="27"/>
      <c r="REL354" s="27"/>
      <c r="REM354" s="27"/>
      <c r="REN354" s="27"/>
      <c r="REO354" s="27"/>
      <c r="REP354" s="27"/>
      <c r="REQ354" s="27"/>
      <c r="RER354" s="27"/>
      <c r="RES354" s="27"/>
      <c r="RET354" s="27"/>
      <c r="REU354" s="27"/>
      <c r="REV354" s="27"/>
      <c r="REW354" s="27"/>
      <c r="REX354" s="27"/>
      <c r="REY354" s="27"/>
      <c r="REZ354" s="27"/>
      <c r="RFA354" s="27"/>
      <c r="RFB354" s="27"/>
      <c r="RFC354" s="27"/>
      <c r="RFD354" s="27"/>
      <c r="RFE354" s="27"/>
      <c r="RFF354" s="27"/>
      <c r="RFG354" s="27"/>
      <c r="RFH354" s="27"/>
      <c r="RFI354" s="27"/>
      <c r="RFJ354" s="27"/>
      <c r="RFK354" s="27"/>
      <c r="RFL354" s="27"/>
      <c r="RFM354" s="27"/>
      <c r="RFN354" s="27"/>
      <c r="RFO354" s="27"/>
      <c r="RFP354" s="27"/>
      <c r="RFQ354" s="27"/>
      <c r="RFR354" s="27"/>
      <c r="RFS354" s="27"/>
      <c r="RFT354" s="27"/>
      <c r="RFU354" s="27"/>
      <c r="RFV354" s="27"/>
      <c r="RFW354" s="27"/>
      <c r="RFX354" s="27"/>
      <c r="RFY354" s="27"/>
      <c r="RFZ354" s="27"/>
      <c r="RGA354" s="27"/>
      <c r="RGB354" s="27"/>
      <c r="RGC354" s="27"/>
      <c r="RGD354" s="27"/>
      <c r="RGE354" s="27"/>
      <c r="RGF354" s="27"/>
      <c r="RGG354" s="27"/>
      <c r="RGH354" s="27"/>
      <c r="RGI354" s="27"/>
      <c r="RGJ354" s="27"/>
      <c r="RGK354" s="27"/>
      <c r="RGL354" s="27"/>
      <c r="RGM354" s="27"/>
      <c r="RGN354" s="27"/>
      <c r="RGO354" s="27"/>
      <c r="RGP354" s="27"/>
      <c r="RGQ354" s="27"/>
      <c r="RGR354" s="27"/>
      <c r="RGS354" s="27"/>
      <c r="RGT354" s="27"/>
      <c r="RGU354" s="27"/>
      <c r="RGV354" s="27"/>
      <c r="RGW354" s="27"/>
      <c r="RGX354" s="27"/>
      <c r="RGY354" s="27"/>
      <c r="RGZ354" s="27"/>
      <c r="RHA354" s="27"/>
      <c r="RHB354" s="27"/>
      <c r="RHC354" s="27"/>
      <c r="RHD354" s="27"/>
      <c r="RHE354" s="27"/>
      <c r="RHF354" s="27"/>
      <c r="RHG354" s="27"/>
      <c r="RHH354" s="27"/>
      <c r="RHI354" s="27"/>
      <c r="RHJ354" s="27"/>
      <c r="RHK354" s="27"/>
      <c r="RHL354" s="27"/>
      <c r="RHM354" s="27"/>
      <c r="RHN354" s="27"/>
      <c r="RHO354" s="27"/>
      <c r="RHP354" s="27"/>
      <c r="RHQ354" s="27"/>
      <c r="RHR354" s="27"/>
      <c r="RHS354" s="27"/>
      <c r="RHT354" s="27"/>
      <c r="RHU354" s="27"/>
      <c r="RHV354" s="27"/>
      <c r="RHW354" s="27"/>
      <c r="RHX354" s="27"/>
      <c r="RHY354" s="27"/>
      <c r="RHZ354" s="27"/>
      <c r="RIA354" s="27"/>
      <c r="RIB354" s="27"/>
      <c r="RIC354" s="27"/>
      <c r="RID354" s="27"/>
      <c r="RIE354" s="27"/>
      <c r="RIF354" s="27"/>
      <c r="RIG354" s="27"/>
      <c r="RIH354" s="27"/>
      <c r="RII354" s="27"/>
      <c r="RIJ354" s="27"/>
      <c r="RIK354" s="27"/>
      <c r="RIL354" s="27"/>
      <c r="RIM354" s="27"/>
      <c r="RIN354" s="27"/>
      <c r="RIO354" s="27"/>
      <c r="RIP354" s="27"/>
      <c r="RIQ354" s="27"/>
      <c r="RIR354" s="27"/>
      <c r="RIS354" s="27"/>
      <c r="RIT354" s="27"/>
      <c r="RIU354" s="27"/>
      <c r="RIV354" s="27"/>
      <c r="RIW354" s="27"/>
      <c r="RIX354" s="27"/>
      <c r="RIY354" s="27"/>
      <c r="RIZ354" s="27"/>
      <c r="RJA354" s="27"/>
      <c r="RJB354" s="27"/>
      <c r="RJC354" s="27"/>
      <c r="RJD354" s="27"/>
      <c r="RJE354" s="27"/>
      <c r="RJF354" s="27"/>
      <c r="RJG354" s="27"/>
      <c r="RJH354" s="27"/>
      <c r="RJI354" s="27"/>
      <c r="RJJ354" s="27"/>
      <c r="RJK354" s="27"/>
      <c r="RJL354" s="27"/>
      <c r="RJM354" s="27"/>
      <c r="RJN354" s="27"/>
      <c r="RJO354" s="27"/>
      <c r="RJP354" s="27"/>
      <c r="RJQ354" s="27"/>
      <c r="RJR354" s="27"/>
      <c r="RJS354" s="27"/>
      <c r="RJT354" s="27"/>
      <c r="RJU354" s="27"/>
      <c r="RJV354" s="27"/>
      <c r="RJW354" s="27"/>
      <c r="RJX354" s="27"/>
      <c r="RJY354" s="27"/>
      <c r="RJZ354" s="27"/>
      <c r="RKA354" s="27"/>
      <c r="RKB354" s="27"/>
      <c r="RKC354" s="27"/>
      <c r="RKD354" s="27"/>
      <c r="RKE354" s="27"/>
      <c r="RKF354" s="27"/>
      <c r="RKG354" s="27"/>
      <c r="RKH354" s="27"/>
      <c r="RKI354" s="27"/>
      <c r="RKJ354" s="27"/>
      <c r="RKK354" s="27"/>
      <c r="RKL354" s="27"/>
      <c r="RKM354" s="27"/>
      <c r="RKN354" s="27"/>
      <c r="RKO354" s="27"/>
      <c r="RKP354" s="27"/>
      <c r="RKQ354" s="27"/>
      <c r="RKR354" s="27"/>
      <c r="RKS354" s="27"/>
      <c r="RKT354" s="27"/>
      <c r="RKU354" s="27"/>
      <c r="RKV354" s="27"/>
      <c r="RKW354" s="27"/>
      <c r="RKX354" s="27"/>
      <c r="RKY354" s="27"/>
      <c r="RKZ354" s="27"/>
      <c r="RLA354" s="27"/>
      <c r="RLB354" s="27"/>
      <c r="RLC354" s="27"/>
      <c r="RLD354" s="27"/>
      <c r="RLE354" s="27"/>
      <c r="RLF354" s="27"/>
      <c r="RLG354" s="27"/>
      <c r="RLH354" s="27"/>
      <c r="RLI354" s="27"/>
      <c r="RLJ354" s="27"/>
      <c r="RLK354" s="27"/>
      <c r="RLL354" s="27"/>
      <c r="RLM354" s="27"/>
      <c r="RLN354" s="27"/>
      <c r="RLO354" s="27"/>
      <c r="RLP354" s="27"/>
      <c r="RLQ354" s="27"/>
      <c r="RLR354" s="27"/>
      <c r="RLS354" s="27"/>
      <c r="RLT354" s="27"/>
      <c r="RLU354" s="27"/>
      <c r="RLV354" s="27"/>
      <c r="RLW354" s="27"/>
      <c r="RLX354" s="27"/>
      <c r="RLY354" s="27"/>
      <c r="RLZ354" s="27"/>
      <c r="RMA354" s="27"/>
      <c r="RMB354" s="27"/>
      <c r="RMC354" s="27"/>
      <c r="RMD354" s="27"/>
      <c r="RME354" s="27"/>
      <c r="RMF354" s="27"/>
      <c r="RMG354" s="27"/>
      <c r="RMH354" s="27"/>
      <c r="RMI354" s="27"/>
      <c r="RMJ354" s="27"/>
      <c r="RMK354" s="27"/>
      <c r="RML354" s="27"/>
      <c r="RMM354" s="27"/>
      <c r="RMN354" s="27"/>
      <c r="RMO354" s="27"/>
      <c r="RMP354" s="27"/>
      <c r="RMQ354" s="27"/>
      <c r="RMR354" s="27"/>
      <c r="RMS354" s="27"/>
      <c r="RMT354" s="27"/>
      <c r="RMU354" s="27"/>
      <c r="RMV354" s="27"/>
      <c r="RMW354" s="27"/>
      <c r="RMX354" s="27"/>
      <c r="RMY354" s="27"/>
      <c r="RMZ354" s="27"/>
      <c r="RNA354" s="27"/>
      <c r="RNB354" s="27"/>
      <c r="RNC354" s="27"/>
      <c r="RND354" s="27"/>
      <c r="RNE354" s="27"/>
      <c r="RNF354" s="27"/>
      <c r="RNG354" s="27"/>
      <c r="RNH354" s="27"/>
      <c r="RNI354" s="27"/>
      <c r="RNJ354" s="27"/>
      <c r="RNK354" s="27"/>
      <c r="RNL354" s="27"/>
      <c r="RNM354" s="27"/>
      <c r="RNN354" s="27"/>
      <c r="RNO354" s="27"/>
      <c r="RNP354" s="27"/>
      <c r="RNQ354" s="27"/>
      <c r="RNR354" s="27"/>
      <c r="RNS354" s="27"/>
      <c r="RNT354" s="27"/>
      <c r="RNU354" s="27"/>
      <c r="RNV354" s="27"/>
      <c r="RNW354" s="27"/>
      <c r="RNX354" s="27"/>
      <c r="RNY354" s="27"/>
      <c r="RNZ354" s="27"/>
      <c r="ROA354" s="27"/>
      <c r="ROB354" s="27"/>
      <c r="ROC354" s="27"/>
      <c r="ROD354" s="27"/>
      <c r="ROE354" s="27"/>
      <c r="ROF354" s="27"/>
      <c r="ROG354" s="27"/>
      <c r="ROH354" s="27"/>
      <c r="ROI354" s="27"/>
      <c r="ROJ354" s="27"/>
      <c r="ROK354" s="27"/>
      <c r="ROL354" s="27"/>
      <c r="ROM354" s="27"/>
      <c r="RON354" s="27"/>
      <c r="ROO354" s="27"/>
      <c r="ROP354" s="27"/>
      <c r="ROQ354" s="27"/>
      <c r="ROR354" s="27"/>
      <c r="ROS354" s="27"/>
      <c r="ROT354" s="27"/>
      <c r="ROU354" s="27"/>
      <c r="ROV354" s="27"/>
      <c r="ROW354" s="27"/>
      <c r="ROX354" s="27"/>
      <c r="ROY354" s="27"/>
      <c r="ROZ354" s="27"/>
      <c r="RPA354" s="27"/>
      <c r="RPB354" s="27"/>
      <c r="RPC354" s="27"/>
      <c r="RPD354" s="27"/>
      <c r="RPE354" s="27"/>
      <c r="RPF354" s="27"/>
      <c r="RPG354" s="27"/>
      <c r="RPH354" s="27"/>
      <c r="RPI354" s="27"/>
      <c r="RPJ354" s="27"/>
      <c r="RPK354" s="27"/>
      <c r="RPL354" s="27"/>
      <c r="RPM354" s="27"/>
      <c r="RPN354" s="27"/>
      <c r="RPO354" s="27"/>
      <c r="RPP354" s="27"/>
      <c r="RPQ354" s="27"/>
      <c r="RPR354" s="27"/>
      <c r="RPS354" s="27"/>
      <c r="RPT354" s="27"/>
      <c r="RPU354" s="27"/>
      <c r="RPV354" s="27"/>
      <c r="RPW354" s="27"/>
      <c r="RPX354" s="27"/>
      <c r="RPY354" s="27"/>
      <c r="RPZ354" s="27"/>
      <c r="RQA354" s="27"/>
      <c r="RQB354" s="27"/>
      <c r="RQC354" s="27"/>
      <c r="RQD354" s="27"/>
      <c r="RQE354" s="27"/>
      <c r="RQF354" s="27"/>
      <c r="RQG354" s="27"/>
      <c r="RQH354" s="27"/>
      <c r="RQI354" s="27"/>
      <c r="RQJ354" s="27"/>
      <c r="RQK354" s="27"/>
      <c r="RQL354" s="27"/>
      <c r="RQM354" s="27"/>
      <c r="RQN354" s="27"/>
      <c r="RQO354" s="27"/>
      <c r="RQP354" s="27"/>
      <c r="RQQ354" s="27"/>
      <c r="RQR354" s="27"/>
      <c r="RQS354" s="27"/>
      <c r="RQT354" s="27"/>
      <c r="RQU354" s="27"/>
      <c r="RQV354" s="27"/>
      <c r="RQW354" s="27"/>
      <c r="RQX354" s="27"/>
      <c r="RQY354" s="27"/>
      <c r="RQZ354" s="27"/>
      <c r="RRA354" s="27"/>
      <c r="RRB354" s="27"/>
      <c r="RRC354" s="27"/>
      <c r="RRD354" s="27"/>
      <c r="RRE354" s="27"/>
      <c r="RRF354" s="27"/>
      <c r="RRG354" s="27"/>
      <c r="RRH354" s="27"/>
      <c r="RRI354" s="27"/>
      <c r="RRJ354" s="27"/>
      <c r="RRK354" s="27"/>
      <c r="RRL354" s="27"/>
      <c r="RRM354" s="27"/>
      <c r="RRN354" s="27"/>
      <c r="RRO354" s="27"/>
      <c r="RRP354" s="27"/>
      <c r="RRQ354" s="27"/>
      <c r="RRR354" s="27"/>
      <c r="RRS354" s="27"/>
      <c r="RRT354" s="27"/>
      <c r="RRU354" s="27"/>
      <c r="RRV354" s="27"/>
      <c r="RRW354" s="27"/>
      <c r="RRX354" s="27"/>
      <c r="RRY354" s="27"/>
      <c r="RRZ354" s="27"/>
      <c r="RSA354" s="27"/>
      <c r="RSB354" s="27"/>
      <c r="RSC354" s="27"/>
      <c r="RSD354" s="27"/>
      <c r="RSE354" s="27"/>
      <c r="RSF354" s="27"/>
      <c r="RSG354" s="27"/>
      <c r="RSH354" s="27"/>
      <c r="RSI354" s="27"/>
      <c r="RSJ354" s="27"/>
      <c r="RSK354" s="27"/>
      <c r="RSL354" s="27"/>
      <c r="RSM354" s="27"/>
      <c r="RSN354" s="27"/>
      <c r="RSO354" s="27"/>
      <c r="RSP354" s="27"/>
      <c r="RSQ354" s="27"/>
      <c r="RSR354" s="27"/>
      <c r="RSS354" s="27"/>
      <c r="RST354" s="27"/>
      <c r="RSU354" s="27"/>
      <c r="RSV354" s="27"/>
      <c r="RSW354" s="27"/>
      <c r="RSX354" s="27"/>
      <c r="RSY354" s="27"/>
      <c r="RSZ354" s="27"/>
      <c r="RTA354" s="27"/>
      <c r="RTB354" s="27"/>
      <c r="RTC354" s="27"/>
      <c r="RTD354" s="27"/>
      <c r="RTE354" s="27"/>
      <c r="RTF354" s="27"/>
      <c r="RTG354" s="27"/>
      <c r="RTH354" s="27"/>
      <c r="RTI354" s="27"/>
      <c r="RTJ354" s="27"/>
      <c r="RTK354" s="27"/>
      <c r="RTL354" s="27"/>
      <c r="RTM354" s="27"/>
      <c r="RTN354" s="27"/>
      <c r="RTO354" s="27"/>
      <c r="RTP354" s="27"/>
      <c r="RTQ354" s="27"/>
      <c r="RTR354" s="27"/>
      <c r="RTS354" s="27"/>
      <c r="RTT354" s="27"/>
      <c r="RTU354" s="27"/>
      <c r="RTV354" s="27"/>
      <c r="RTW354" s="27"/>
      <c r="RTX354" s="27"/>
      <c r="RTY354" s="27"/>
      <c r="RTZ354" s="27"/>
      <c r="RUA354" s="27"/>
      <c r="RUB354" s="27"/>
      <c r="RUC354" s="27"/>
      <c r="RUD354" s="27"/>
      <c r="RUE354" s="27"/>
      <c r="RUF354" s="27"/>
      <c r="RUG354" s="27"/>
      <c r="RUH354" s="27"/>
      <c r="RUI354" s="27"/>
      <c r="RUJ354" s="27"/>
      <c r="RUK354" s="27"/>
      <c r="RUL354" s="27"/>
      <c r="RUM354" s="27"/>
      <c r="RUN354" s="27"/>
      <c r="RUO354" s="27"/>
      <c r="RUP354" s="27"/>
      <c r="RUQ354" s="27"/>
      <c r="RUR354" s="27"/>
      <c r="RUS354" s="27"/>
      <c r="RUT354" s="27"/>
      <c r="RUU354" s="27"/>
      <c r="RUV354" s="27"/>
      <c r="RUW354" s="27"/>
      <c r="RUX354" s="27"/>
      <c r="RUY354" s="27"/>
      <c r="RUZ354" s="27"/>
      <c r="RVA354" s="27"/>
      <c r="RVB354" s="27"/>
      <c r="RVC354" s="27"/>
      <c r="RVD354" s="27"/>
      <c r="RVE354" s="27"/>
      <c r="RVF354" s="27"/>
      <c r="RVG354" s="27"/>
      <c r="RVH354" s="27"/>
      <c r="RVI354" s="27"/>
      <c r="RVJ354" s="27"/>
      <c r="RVK354" s="27"/>
      <c r="RVL354" s="27"/>
      <c r="RVM354" s="27"/>
      <c r="RVN354" s="27"/>
      <c r="RVO354" s="27"/>
      <c r="RVP354" s="27"/>
      <c r="RVQ354" s="27"/>
      <c r="RVR354" s="27"/>
      <c r="RVS354" s="27"/>
      <c r="RVT354" s="27"/>
      <c r="RVU354" s="27"/>
      <c r="RVV354" s="27"/>
      <c r="RVW354" s="27"/>
      <c r="RVX354" s="27"/>
      <c r="RVY354" s="27"/>
      <c r="RVZ354" s="27"/>
      <c r="RWA354" s="27"/>
      <c r="RWB354" s="27"/>
      <c r="RWC354" s="27"/>
      <c r="RWD354" s="27"/>
      <c r="RWE354" s="27"/>
      <c r="RWF354" s="27"/>
      <c r="RWG354" s="27"/>
      <c r="RWH354" s="27"/>
      <c r="RWI354" s="27"/>
      <c r="RWJ354" s="27"/>
      <c r="RWK354" s="27"/>
      <c r="RWL354" s="27"/>
      <c r="RWM354" s="27"/>
      <c r="RWN354" s="27"/>
      <c r="RWO354" s="27"/>
      <c r="RWP354" s="27"/>
      <c r="RWQ354" s="27"/>
      <c r="RWR354" s="27"/>
      <c r="RWS354" s="27"/>
      <c r="RWT354" s="27"/>
      <c r="RWU354" s="27"/>
      <c r="RWV354" s="27"/>
      <c r="RWW354" s="27"/>
      <c r="RWX354" s="27"/>
      <c r="RWY354" s="27"/>
      <c r="RWZ354" s="27"/>
      <c r="RXA354" s="27"/>
      <c r="RXB354" s="27"/>
      <c r="RXC354" s="27"/>
      <c r="RXD354" s="27"/>
      <c r="RXE354" s="27"/>
      <c r="RXF354" s="27"/>
      <c r="RXG354" s="27"/>
      <c r="RXH354" s="27"/>
      <c r="RXI354" s="27"/>
      <c r="RXJ354" s="27"/>
      <c r="RXK354" s="27"/>
      <c r="RXL354" s="27"/>
      <c r="RXM354" s="27"/>
      <c r="RXN354" s="27"/>
      <c r="RXO354" s="27"/>
      <c r="RXP354" s="27"/>
      <c r="RXQ354" s="27"/>
      <c r="RXR354" s="27"/>
      <c r="RXS354" s="27"/>
      <c r="RXT354" s="27"/>
      <c r="RXU354" s="27"/>
      <c r="RXV354" s="27"/>
      <c r="RXW354" s="27"/>
      <c r="RXX354" s="27"/>
      <c r="RXY354" s="27"/>
      <c r="RXZ354" s="27"/>
      <c r="RYA354" s="27"/>
      <c r="RYB354" s="27"/>
      <c r="RYC354" s="27"/>
      <c r="RYD354" s="27"/>
      <c r="RYE354" s="27"/>
      <c r="RYF354" s="27"/>
      <c r="RYG354" s="27"/>
      <c r="RYH354" s="27"/>
      <c r="RYI354" s="27"/>
      <c r="RYJ354" s="27"/>
      <c r="RYK354" s="27"/>
      <c r="RYL354" s="27"/>
      <c r="RYM354" s="27"/>
      <c r="RYN354" s="27"/>
      <c r="RYO354" s="27"/>
      <c r="RYP354" s="27"/>
      <c r="RYQ354" s="27"/>
      <c r="RYR354" s="27"/>
      <c r="RYS354" s="27"/>
      <c r="RYT354" s="27"/>
      <c r="RYU354" s="27"/>
      <c r="RYV354" s="27"/>
      <c r="RYW354" s="27"/>
      <c r="RYX354" s="27"/>
      <c r="RYY354" s="27"/>
      <c r="RYZ354" s="27"/>
      <c r="RZA354" s="27"/>
      <c r="RZB354" s="27"/>
      <c r="RZC354" s="27"/>
      <c r="RZD354" s="27"/>
      <c r="RZE354" s="27"/>
      <c r="RZF354" s="27"/>
      <c r="RZG354" s="27"/>
      <c r="RZH354" s="27"/>
      <c r="RZI354" s="27"/>
      <c r="RZJ354" s="27"/>
      <c r="RZK354" s="27"/>
      <c r="RZL354" s="27"/>
      <c r="RZM354" s="27"/>
      <c r="RZN354" s="27"/>
      <c r="RZO354" s="27"/>
      <c r="RZP354" s="27"/>
      <c r="RZQ354" s="27"/>
      <c r="RZR354" s="27"/>
      <c r="RZS354" s="27"/>
      <c r="RZT354" s="27"/>
      <c r="RZU354" s="27"/>
      <c r="RZV354" s="27"/>
      <c r="RZW354" s="27"/>
      <c r="RZX354" s="27"/>
      <c r="RZY354" s="27"/>
      <c r="RZZ354" s="27"/>
      <c r="SAA354" s="27"/>
      <c r="SAB354" s="27"/>
      <c r="SAC354" s="27"/>
      <c r="SAD354" s="27"/>
      <c r="SAE354" s="27"/>
      <c r="SAF354" s="27"/>
      <c r="SAG354" s="27"/>
      <c r="SAH354" s="27"/>
      <c r="SAI354" s="27"/>
      <c r="SAJ354" s="27"/>
      <c r="SAK354" s="27"/>
      <c r="SAL354" s="27"/>
      <c r="SAM354" s="27"/>
      <c r="SAN354" s="27"/>
      <c r="SAO354" s="27"/>
      <c r="SAP354" s="27"/>
      <c r="SAQ354" s="27"/>
      <c r="SAR354" s="27"/>
      <c r="SAS354" s="27"/>
      <c r="SAT354" s="27"/>
      <c r="SAU354" s="27"/>
      <c r="SAV354" s="27"/>
      <c r="SAW354" s="27"/>
      <c r="SAX354" s="27"/>
      <c r="SAY354" s="27"/>
      <c r="SAZ354" s="27"/>
      <c r="SBA354" s="27"/>
      <c r="SBB354" s="27"/>
      <c r="SBC354" s="27"/>
      <c r="SBD354" s="27"/>
      <c r="SBE354" s="27"/>
      <c r="SBF354" s="27"/>
      <c r="SBG354" s="27"/>
      <c r="SBH354" s="27"/>
      <c r="SBI354" s="27"/>
      <c r="SBJ354" s="27"/>
      <c r="SBK354" s="27"/>
      <c r="SBL354" s="27"/>
      <c r="SBM354" s="27"/>
      <c r="SBN354" s="27"/>
      <c r="SBO354" s="27"/>
      <c r="SBP354" s="27"/>
      <c r="SBQ354" s="27"/>
      <c r="SBR354" s="27"/>
      <c r="SBS354" s="27"/>
      <c r="SBT354" s="27"/>
      <c r="SBU354" s="27"/>
      <c r="SBV354" s="27"/>
      <c r="SBW354" s="27"/>
      <c r="SBX354" s="27"/>
      <c r="SBY354" s="27"/>
      <c r="SBZ354" s="27"/>
      <c r="SCA354" s="27"/>
      <c r="SCB354" s="27"/>
      <c r="SCC354" s="27"/>
      <c r="SCD354" s="27"/>
      <c r="SCE354" s="27"/>
      <c r="SCF354" s="27"/>
      <c r="SCG354" s="27"/>
      <c r="SCH354" s="27"/>
      <c r="SCI354" s="27"/>
      <c r="SCJ354" s="27"/>
      <c r="SCK354" s="27"/>
      <c r="SCL354" s="27"/>
      <c r="SCM354" s="27"/>
      <c r="SCN354" s="27"/>
      <c r="SCO354" s="27"/>
      <c r="SCP354" s="27"/>
      <c r="SCQ354" s="27"/>
      <c r="SCR354" s="27"/>
      <c r="SCS354" s="27"/>
      <c r="SCT354" s="27"/>
      <c r="SCU354" s="27"/>
      <c r="SCV354" s="27"/>
      <c r="SCW354" s="27"/>
      <c r="SCX354" s="27"/>
      <c r="SCY354" s="27"/>
      <c r="SCZ354" s="27"/>
      <c r="SDA354" s="27"/>
      <c r="SDB354" s="27"/>
      <c r="SDC354" s="27"/>
      <c r="SDD354" s="27"/>
      <c r="SDE354" s="27"/>
      <c r="SDF354" s="27"/>
      <c r="SDG354" s="27"/>
      <c r="SDH354" s="27"/>
      <c r="SDI354" s="27"/>
      <c r="SDJ354" s="27"/>
      <c r="SDK354" s="27"/>
      <c r="SDL354" s="27"/>
      <c r="SDM354" s="27"/>
      <c r="SDN354" s="27"/>
      <c r="SDO354" s="27"/>
      <c r="SDP354" s="27"/>
      <c r="SDQ354" s="27"/>
      <c r="SDR354" s="27"/>
      <c r="SDS354" s="27"/>
      <c r="SDT354" s="27"/>
      <c r="SDU354" s="27"/>
      <c r="SDV354" s="27"/>
      <c r="SDW354" s="27"/>
      <c r="SDX354" s="27"/>
      <c r="SDY354" s="27"/>
      <c r="SDZ354" s="27"/>
      <c r="SEA354" s="27"/>
      <c r="SEB354" s="27"/>
      <c r="SEC354" s="27"/>
      <c r="SED354" s="27"/>
      <c r="SEE354" s="27"/>
      <c r="SEF354" s="27"/>
      <c r="SEG354" s="27"/>
      <c r="SEH354" s="27"/>
      <c r="SEI354" s="27"/>
      <c r="SEJ354" s="27"/>
      <c r="SEK354" s="27"/>
      <c r="SEL354" s="27"/>
      <c r="SEM354" s="27"/>
      <c r="SEN354" s="27"/>
      <c r="SEO354" s="27"/>
      <c r="SEP354" s="27"/>
      <c r="SEQ354" s="27"/>
      <c r="SER354" s="27"/>
      <c r="SES354" s="27"/>
      <c r="SET354" s="27"/>
      <c r="SEU354" s="27"/>
      <c r="SEV354" s="27"/>
      <c r="SEW354" s="27"/>
      <c r="SEX354" s="27"/>
      <c r="SEY354" s="27"/>
      <c r="SEZ354" s="27"/>
      <c r="SFA354" s="27"/>
      <c r="SFB354" s="27"/>
      <c r="SFC354" s="27"/>
      <c r="SFD354" s="27"/>
      <c r="SFE354" s="27"/>
      <c r="SFF354" s="27"/>
      <c r="SFG354" s="27"/>
      <c r="SFH354" s="27"/>
      <c r="SFI354" s="27"/>
      <c r="SFJ354" s="27"/>
      <c r="SFK354" s="27"/>
      <c r="SFL354" s="27"/>
      <c r="SFM354" s="27"/>
      <c r="SFN354" s="27"/>
      <c r="SFO354" s="27"/>
      <c r="SFP354" s="27"/>
      <c r="SFQ354" s="27"/>
      <c r="SFR354" s="27"/>
      <c r="SFS354" s="27"/>
      <c r="SFT354" s="27"/>
      <c r="SFU354" s="27"/>
      <c r="SFV354" s="27"/>
      <c r="SFW354" s="27"/>
      <c r="SFX354" s="27"/>
      <c r="SFY354" s="27"/>
      <c r="SFZ354" s="27"/>
      <c r="SGA354" s="27"/>
      <c r="SGB354" s="27"/>
      <c r="SGC354" s="27"/>
      <c r="SGD354" s="27"/>
      <c r="SGE354" s="27"/>
      <c r="SGF354" s="27"/>
      <c r="SGG354" s="27"/>
      <c r="SGH354" s="27"/>
      <c r="SGI354" s="27"/>
      <c r="SGJ354" s="27"/>
      <c r="SGK354" s="27"/>
      <c r="SGL354" s="27"/>
      <c r="SGM354" s="27"/>
      <c r="SGN354" s="27"/>
      <c r="SGO354" s="27"/>
      <c r="SGP354" s="27"/>
      <c r="SGQ354" s="27"/>
      <c r="SGR354" s="27"/>
      <c r="SGS354" s="27"/>
      <c r="SGT354" s="27"/>
      <c r="SGU354" s="27"/>
      <c r="SGV354" s="27"/>
      <c r="SGW354" s="27"/>
      <c r="SGX354" s="27"/>
      <c r="SGY354" s="27"/>
      <c r="SGZ354" s="27"/>
      <c r="SHA354" s="27"/>
      <c r="SHB354" s="27"/>
      <c r="SHC354" s="27"/>
      <c r="SHD354" s="27"/>
      <c r="SHE354" s="27"/>
      <c r="SHF354" s="27"/>
      <c r="SHG354" s="27"/>
      <c r="SHH354" s="27"/>
      <c r="SHI354" s="27"/>
      <c r="SHJ354" s="27"/>
      <c r="SHK354" s="27"/>
      <c r="SHL354" s="27"/>
      <c r="SHM354" s="27"/>
      <c r="SHN354" s="27"/>
      <c r="SHO354" s="27"/>
      <c r="SHP354" s="27"/>
      <c r="SHQ354" s="27"/>
      <c r="SHR354" s="27"/>
      <c r="SHS354" s="27"/>
      <c r="SHT354" s="27"/>
      <c r="SHU354" s="27"/>
      <c r="SHV354" s="27"/>
      <c r="SHW354" s="27"/>
      <c r="SHX354" s="27"/>
      <c r="SHY354" s="27"/>
      <c r="SHZ354" s="27"/>
      <c r="SIA354" s="27"/>
      <c r="SIB354" s="27"/>
      <c r="SIC354" s="27"/>
      <c r="SID354" s="27"/>
      <c r="SIE354" s="27"/>
      <c r="SIF354" s="27"/>
      <c r="SIG354" s="27"/>
      <c r="SIH354" s="27"/>
      <c r="SII354" s="27"/>
      <c r="SIJ354" s="27"/>
      <c r="SIK354" s="27"/>
      <c r="SIL354" s="27"/>
      <c r="SIM354" s="27"/>
      <c r="SIN354" s="27"/>
      <c r="SIO354" s="27"/>
      <c r="SIP354" s="27"/>
      <c r="SIQ354" s="27"/>
      <c r="SIR354" s="27"/>
      <c r="SIS354" s="27"/>
      <c r="SIT354" s="27"/>
      <c r="SIU354" s="27"/>
      <c r="SIV354" s="27"/>
      <c r="SIW354" s="27"/>
      <c r="SIX354" s="27"/>
      <c r="SIY354" s="27"/>
      <c r="SIZ354" s="27"/>
      <c r="SJA354" s="27"/>
      <c r="SJB354" s="27"/>
      <c r="SJC354" s="27"/>
      <c r="SJD354" s="27"/>
      <c r="SJE354" s="27"/>
      <c r="SJF354" s="27"/>
      <c r="SJG354" s="27"/>
      <c r="SJH354" s="27"/>
      <c r="SJI354" s="27"/>
      <c r="SJJ354" s="27"/>
      <c r="SJK354" s="27"/>
      <c r="SJL354" s="27"/>
      <c r="SJM354" s="27"/>
      <c r="SJN354" s="27"/>
      <c r="SJO354" s="27"/>
      <c r="SJP354" s="27"/>
      <c r="SJQ354" s="27"/>
      <c r="SJR354" s="27"/>
      <c r="SJS354" s="27"/>
      <c r="SJT354" s="27"/>
      <c r="SJU354" s="27"/>
      <c r="SJV354" s="27"/>
      <c r="SJW354" s="27"/>
      <c r="SJX354" s="27"/>
      <c r="SJY354" s="27"/>
      <c r="SJZ354" s="27"/>
      <c r="SKA354" s="27"/>
      <c r="SKB354" s="27"/>
      <c r="SKC354" s="27"/>
      <c r="SKD354" s="27"/>
      <c r="SKE354" s="27"/>
      <c r="SKF354" s="27"/>
      <c r="SKG354" s="27"/>
      <c r="SKH354" s="27"/>
      <c r="SKI354" s="27"/>
      <c r="SKJ354" s="27"/>
      <c r="SKK354" s="27"/>
      <c r="SKL354" s="27"/>
      <c r="SKM354" s="27"/>
      <c r="SKN354" s="27"/>
      <c r="SKO354" s="27"/>
      <c r="SKP354" s="27"/>
      <c r="SKQ354" s="27"/>
      <c r="SKR354" s="27"/>
      <c r="SKS354" s="27"/>
      <c r="SKT354" s="27"/>
      <c r="SKU354" s="27"/>
      <c r="SKV354" s="27"/>
      <c r="SKW354" s="27"/>
      <c r="SKX354" s="27"/>
      <c r="SKY354" s="27"/>
      <c r="SKZ354" s="27"/>
      <c r="SLA354" s="27"/>
      <c r="SLB354" s="27"/>
      <c r="SLC354" s="27"/>
      <c r="SLD354" s="27"/>
      <c r="SLE354" s="27"/>
      <c r="SLF354" s="27"/>
      <c r="SLG354" s="27"/>
      <c r="SLH354" s="27"/>
      <c r="SLI354" s="27"/>
      <c r="SLJ354" s="27"/>
      <c r="SLK354" s="27"/>
      <c r="SLL354" s="27"/>
      <c r="SLM354" s="27"/>
      <c r="SLN354" s="27"/>
      <c r="SLO354" s="27"/>
      <c r="SLP354" s="27"/>
      <c r="SLQ354" s="27"/>
      <c r="SLR354" s="27"/>
      <c r="SLS354" s="27"/>
      <c r="SLT354" s="27"/>
      <c r="SLU354" s="27"/>
      <c r="SLV354" s="27"/>
      <c r="SLW354" s="27"/>
      <c r="SLX354" s="27"/>
      <c r="SLY354" s="27"/>
      <c r="SLZ354" s="27"/>
      <c r="SMA354" s="27"/>
      <c r="SMB354" s="27"/>
      <c r="SMC354" s="27"/>
      <c r="SMD354" s="27"/>
      <c r="SME354" s="27"/>
      <c r="SMF354" s="27"/>
      <c r="SMG354" s="27"/>
      <c r="SMH354" s="27"/>
      <c r="SMI354" s="27"/>
      <c r="SMJ354" s="27"/>
      <c r="SMK354" s="27"/>
      <c r="SML354" s="27"/>
      <c r="SMM354" s="27"/>
      <c r="SMN354" s="27"/>
      <c r="SMO354" s="27"/>
      <c r="SMP354" s="27"/>
      <c r="SMQ354" s="27"/>
      <c r="SMR354" s="27"/>
      <c r="SMS354" s="27"/>
      <c r="SMT354" s="27"/>
      <c r="SMU354" s="27"/>
      <c r="SMV354" s="27"/>
      <c r="SMW354" s="27"/>
      <c r="SMX354" s="27"/>
      <c r="SMY354" s="27"/>
      <c r="SMZ354" s="27"/>
      <c r="SNA354" s="27"/>
      <c r="SNB354" s="27"/>
      <c r="SNC354" s="27"/>
      <c r="SND354" s="27"/>
      <c r="SNE354" s="27"/>
      <c r="SNF354" s="27"/>
      <c r="SNG354" s="27"/>
      <c r="SNH354" s="27"/>
      <c r="SNI354" s="27"/>
      <c r="SNJ354" s="27"/>
      <c r="SNK354" s="27"/>
      <c r="SNL354" s="27"/>
      <c r="SNM354" s="27"/>
      <c r="SNN354" s="27"/>
      <c r="SNO354" s="27"/>
      <c r="SNP354" s="27"/>
      <c r="SNQ354" s="27"/>
      <c r="SNR354" s="27"/>
      <c r="SNS354" s="27"/>
      <c r="SNT354" s="27"/>
      <c r="SNU354" s="27"/>
      <c r="SNV354" s="27"/>
      <c r="SNW354" s="27"/>
      <c r="SNX354" s="27"/>
      <c r="SNY354" s="27"/>
      <c r="SNZ354" s="27"/>
      <c r="SOA354" s="27"/>
      <c r="SOB354" s="27"/>
      <c r="SOC354" s="27"/>
      <c r="SOD354" s="27"/>
      <c r="SOE354" s="27"/>
      <c r="SOF354" s="27"/>
      <c r="SOG354" s="27"/>
      <c r="SOH354" s="27"/>
      <c r="SOI354" s="27"/>
      <c r="SOJ354" s="27"/>
      <c r="SOK354" s="27"/>
      <c r="SOL354" s="27"/>
      <c r="SOM354" s="27"/>
      <c r="SON354" s="27"/>
      <c r="SOO354" s="27"/>
      <c r="SOP354" s="27"/>
      <c r="SOQ354" s="27"/>
      <c r="SOR354" s="27"/>
      <c r="SOS354" s="27"/>
      <c r="SOT354" s="27"/>
      <c r="SOU354" s="27"/>
      <c r="SOV354" s="27"/>
      <c r="SOW354" s="27"/>
      <c r="SOX354" s="27"/>
      <c r="SOY354" s="27"/>
      <c r="SOZ354" s="27"/>
      <c r="SPA354" s="27"/>
      <c r="SPB354" s="27"/>
      <c r="SPC354" s="27"/>
      <c r="SPD354" s="27"/>
      <c r="SPE354" s="27"/>
      <c r="SPF354" s="27"/>
      <c r="SPG354" s="27"/>
      <c r="SPH354" s="27"/>
      <c r="SPI354" s="27"/>
      <c r="SPJ354" s="27"/>
      <c r="SPK354" s="27"/>
      <c r="SPL354" s="27"/>
      <c r="SPM354" s="27"/>
      <c r="SPN354" s="27"/>
      <c r="SPO354" s="27"/>
      <c r="SPP354" s="27"/>
      <c r="SPQ354" s="27"/>
      <c r="SPR354" s="27"/>
      <c r="SPS354" s="27"/>
      <c r="SPT354" s="27"/>
      <c r="SPU354" s="27"/>
      <c r="SPV354" s="27"/>
      <c r="SPW354" s="27"/>
      <c r="SPX354" s="27"/>
      <c r="SPY354" s="27"/>
      <c r="SPZ354" s="27"/>
      <c r="SQA354" s="27"/>
      <c r="SQB354" s="27"/>
      <c r="SQC354" s="27"/>
      <c r="SQD354" s="27"/>
      <c r="SQE354" s="27"/>
      <c r="SQF354" s="27"/>
      <c r="SQG354" s="27"/>
      <c r="SQH354" s="27"/>
      <c r="SQI354" s="27"/>
      <c r="SQJ354" s="27"/>
      <c r="SQK354" s="27"/>
      <c r="SQL354" s="27"/>
      <c r="SQM354" s="27"/>
      <c r="SQN354" s="27"/>
      <c r="SQO354" s="27"/>
      <c r="SQP354" s="27"/>
      <c r="SQQ354" s="27"/>
      <c r="SQR354" s="27"/>
      <c r="SQS354" s="27"/>
      <c r="SQT354" s="27"/>
      <c r="SQU354" s="27"/>
      <c r="SQV354" s="27"/>
      <c r="SQW354" s="27"/>
      <c r="SQX354" s="27"/>
      <c r="SQY354" s="27"/>
      <c r="SQZ354" s="27"/>
      <c r="SRA354" s="27"/>
      <c r="SRB354" s="27"/>
      <c r="SRC354" s="27"/>
      <c r="SRD354" s="27"/>
      <c r="SRE354" s="27"/>
      <c r="SRF354" s="27"/>
      <c r="SRG354" s="27"/>
      <c r="SRH354" s="27"/>
      <c r="SRI354" s="27"/>
      <c r="SRJ354" s="27"/>
      <c r="SRK354" s="27"/>
      <c r="SRL354" s="27"/>
      <c r="SRM354" s="27"/>
      <c r="SRN354" s="27"/>
      <c r="SRO354" s="27"/>
      <c r="SRP354" s="27"/>
      <c r="SRQ354" s="27"/>
      <c r="SRR354" s="27"/>
      <c r="SRS354" s="27"/>
      <c r="SRT354" s="27"/>
      <c r="SRU354" s="27"/>
      <c r="SRV354" s="27"/>
      <c r="SRW354" s="27"/>
      <c r="SRX354" s="27"/>
      <c r="SRY354" s="27"/>
      <c r="SRZ354" s="27"/>
      <c r="SSA354" s="27"/>
      <c r="SSB354" s="27"/>
      <c r="SSC354" s="27"/>
      <c r="SSD354" s="27"/>
      <c r="SSE354" s="27"/>
      <c r="SSF354" s="27"/>
      <c r="SSG354" s="27"/>
      <c r="SSH354" s="27"/>
      <c r="SSI354" s="27"/>
      <c r="SSJ354" s="27"/>
      <c r="SSK354" s="27"/>
      <c r="SSL354" s="27"/>
      <c r="SSM354" s="27"/>
      <c r="SSN354" s="27"/>
      <c r="SSO354" s="27"/>
      <c r="SSP354" s="27"/>
      <c r="SSQ354" s="27"/>
      <c r="SSR354" s="27"/>
      <c r="SSS354" s="27"/>
      <c r="SST354" s="27"/>
      <c r="SSU354" s="27"/>
      <c r="SSV354" s="27"/>
      <c r="SSW354" s="27"/>
      <c r="SSX354" s="27"/>
      <c r="SSY354" s="27"/>
      <c r="SSZ354" s="27"/>
      <c r="STA354" s="27"/>
      <c r="STB354" s="27"/>
      <c r="STC354" s="27"/>
      <c r="STD354" s="27"/>
      <c r="STE354" s="27"/>
      <c r="STF354" s="27"/>
      <c r="STG354" s="27"/>
      <c r="STH354" s="27"/>
      <c r="STI354" s="27"/>
      <c r="STJ354" s="27"/>
      <c r="STK354" s="27"/>
      <c r="STL354" s="27"/>
      <c r="STM354" s="27"/>
      <c r="STN354" s="27"/>
      <c r="STO354" s="27"/>
      <c r="STP354" s="27"/>
      <c r="STQ354" s="27"/>
      <c r="STR354" s="27"/>
      <c r="STS354" s="27"/>
      <c r="STT354" s="27"/>
      <c r="STU354" s="27"/>
      <c r="STV354" s="27"/>
      <c r="STW354" s="27"/>
      <c r="STX354" s="27"/>
      <c r="STY354" s="27"/>
      <c r="STZ354" s="27"/>
      <c r="SUA354" s="27"/>
      <c r="SUB354" s="27"/>
      <c r="SUC354" s="27"/>
      <c r="SUD354" s="27"/>
      <c r="SUE354" s="27"/>
      <c r="SUF354" s="27"/>
      <c r="SUG354" s="27"/>
      <c r="SUH354" s="27"/>
      <c r="SUI354" s="27"/>
      <c r="SUJ354" s="27"/>
      <c r="SUK354" s="27"/>
      <c r="SUL354" s="27"/>
      <c r="SUM354" s="27"/>
      <c r="SUN354" s="27"/>
      <c r="SUO354" s="27"/>
      <c r="SUP354" s="27"/>
      <c r="SUQ354" s="27"/>
      <c r="SUR354" s="27"/>
      <c r="SUS354" s="27"/>
      <c r="SUT354" s="27"/>
      <c r="SUU354" s="27"/>
      <c r="SUV354" s="27"/>
      <c r="SUW354" s="27"/>
      <c r="SUX354" s="27"/>
      <c r="SUY354" s="27"/>
      <c r="SUZ354" s="27"/>
      <c r="SVA354" s="27"/>
      <c r="SVB354" s="27"/>
      <c r="SVC354" s="27"/>
      <c r="SVD354" s="27"/>
      <c r="SVE354" s="27"/>
      <c r="SVF354" s="27"/>
      <c r="SVG354" s="27"/>
      <c r="SVH354" s="27"/>
      <c r="SVI354" s="27"/>
      <c r="SVJ354" s="27"/>
      <c r="SVK354" s="27"/>
      <c r="SVL354" s="27"/>
      <c r="SVM354" s="27"/>
      <c r="SVN354" s="27"/>
      <c r="SVO354" s="27"/>
      <c r="SVP354" s="27"/>
      <c r="SVQ354" s="27"/>
      <c r="SVR354" s="27"/>
      <c r="SVS354" s="27"/>
      <c r="SVT354" s="27"/>
      <c r="SVU354" s="27"/>
      <c r="SVV354" s="27"/>
      <c r="SVW354" s="27"/>
      <c r="SVX354" s="27"/>
      <c r="SVY354" s="27"/>
      <c r="SVZ354" s="27"/>
      <c r="SWA354" s="27"/>
      <c r="SWB354" s="27"/>
      <c r="SWC354" s="27"/>
      <c r="SWD354" s="27"/>
      <c r="SWE354" s="27"/>
      <c r="SWF354" s="27"/>
      <c r="SWG354" s="27"/>
      <c r="SWH354" s="27"/>
      <c r="SWI354" s="27"/>
      <c r="SWJ354" s="27"/>
      <c r="SWK354" s="27"/>
      <c r="SWL354" s="27"/>
      <c r="SWM354" s="27"/>
      <c r="SWN354" s="27"/>
      <c r="SWO354" s="27"/>
      <c r="SWP354" s="27"/>
      <c r="SWQ354" s="27"/>
      <c r="SWR354" s="27"/>
      <c r="SWS354" s="27"/>
      <c r="SWT354" s="27"/>
      <c r="SWU354" s="27"/>
      <c r="SWV354" s="27"/>
      <c r="SWW354" s="27"/>
      <c r="SWX354" s="27"/>
      <c r="SWY354" s="27"/>
      <c r="SWZ354" s="27"/>
      <c r="SXA354" s="27"/>
      <c r="SXB354" s="27"/>
      <c r="SXC354" s="27"/>
      <c r="SXD354" s="27"/>
      <c r="SXE354" s="27"/>
      <c r="SXF354" s="27"/>
      <c r="SXG354" s="27"/>
      <c r="SXH354" s="27"/>
      <c r="SXI354" s="27"/>
      <c r="SXJ354" s="27"/>
      <c r="SXK354" s="27"/>
      <c r="SXL354" s="27"/>
      <c r="SXM354" s="27"/>
      <c r="SXN354" s="27"/>
      <c r="SXO354" s="27"/>
      <c r="SXP354" s="27"/>
      <c r="SXQ354" s="27"/>
      <c r="SXR354" s="27"/>
      <c r="SXS354" s="27"/>
      <c r="SXT354" s="27"/>
      <c r="SXU354" s="27"/>
      <c r="SXV354" s="27"/>
      <c r="SXW354" s="27"/>
      <c r="SXX354" s="27"/>
      <c r="SXY354" s="27"/>
      <c r="SXZ354" s="27"/>
      <c r="SYA354" s="27"/>
      <c r="SYB354" s="27"/>
      <c r="SYC354" s="27"/>
      <c r="SYD354" s="27"/>
      <c r="SYE354" s="27"/>
      <c r="SYF354" s="27"/>
      <c r="SYG354" s="27"/>
      <c r="SYH354" s="27"/>
      <c r="SYI354" s="27"/>
      <c r="SYJ354" s="27"/>
      <c r="SYK354" s="27"/>
      <c r="SYL354" s="27"/>
      <c r="SYM354" s="27"/>
      <c r="SYN354" s="27"/>
      <c r="SYO354" s="27"/>
      <c r="SYP354" s="27"/>
      <c r="SYQ354" s="27"/>
      <c r="SYR354" s="27"/>
      <c r="SYS354" s="27"/>
      <c r="SYT354" s="27"/>
      <c r="SYU354" s="27"/>
      <c r="SYV354" s="27"/>
      <c r="SYW354" s="27"/>
      <c r="SYX354" s="27"/>
      <c r="SYY354" s="27"/>
      <c r="SYZ354" s="27"/>
      <c r="SZA354" s="27"/>
      <c r="SZB354" s="27"/>
      <c r="SZC354" s="27"/>
      <c r="SZD354" s="27"/>
      <c r="SZE354" s="27"/>
      <c r="SZF354" s="27"/>
      <c r="SZG354" s="27"/>
      <c r="SZH354" s="27"/>
      <c r="SZI354" s="27"/>
      <c r="SZJ354" s="27"/>
      <c r="SZK354" s="27"/>
      <c r="SZL354" s="27"/>
      <c r="SZM354" s="27"/>
      <c r="SZN354" s="27"/>
      <c r="SZO354" s="27"/>
      <c r="SZP354" s="27"/>
      <c r="SZQ354" s="27"/>
      <c r="SZR354" s="27"/>
      <c r="SZS354" s="27"/>
      <c r="SZT354" s="27"/>
      <c r="SZU354" s="27"/>
      <c r="SZV354" s="27"/>
      <c r="SZW354" s="27"/>
      <c r="SZX354" s="27"/>
      <c r="SZY354" s="27"/>
      <c r="SZZ354" s="27"/>
      <c r="TAA354" s="27"/>
      <c r="TAB354" s="27"/>
      <c r="TAC354" s="27"/>
      <c r="TAD354" s="27"/>
      <c r="TAE354" s="27"/>
      <c r="TAF354" s="27"/>
      <c r="TAG354" s="27"/>
      <c r="TAH354" s="27"/>
      <c r="TAI354" s="27"/>
      <c r="TAJ354" s="27"/>
      <c r="TAK354" s="27"/>
      <c r="TAL354" s="27"/>
      <c r="TAM354" s="27"/>
      <c r="TAN354" s="27"/>
      <c r="TAO354" s="27"/>
      <c r="TAP354" s="27"/>
      <c r="TAQ354" s="27"/>
      <c r="TAR354" s="27"/>
      <c r="TAS354" s="27"/>
      <c r="TAT354" s="27"/>
      <c r="TAU354" s="27"/>
      <c r="TAV354" s="27"/>
      <c r="TAW354" s="27"/>
      <c r="TAX354" s="27"/>
      <c r="TAY354" s="27"/>
      <c r="TAZ354" s="27"/>
      <c r="TBA354" s="27"/>
      <c r="TBB354" s="27"/>
      <c r="TBC354" s="27"/>
      <c r="TBD354" s="27"/>
      <c r="TBE354" s="27"/>
      <c r="TBF354" s="27"/>
      <c r="TBG354" s="27"/>
      <c r="TBH354" s="27"/>
      <c r="TBI354" s="27"/>
      <c r="TBJ354" s="27"/>
      <c r="TBK354" s="27"/>
      <c r="TBL354" s="27"/>
      <c r="TBM354" s="27"/>
      <c r="TBN354" s="27"/>
      <c r="TBO354" s="27"/>
      <c r="TBP354" s="27"/>
      <c r="TBQ354" s="27"/>
      <c r="TBR354" s="27"/>
      <c r="TBS354" s="27"/>
      <c r="TBT354" s="27"/>
      <c r="TBU354" s="27"/>
      <c r="TBV354" s="27"/>
      <c r="TBW354" s="27"/>
      <c r="TBX354" s="27"/>
      <c r="TBY354" s="27"/>
      <c r="TBZ354" s="27"/>
      <c r="TCA354" s="27"/>
      <c r="TCB354" s="27"/>
      <c r="TCC354" s="27"/>
      <c r="TCD354" s="27"/>
      <c r="TCE354" s="27"/>
      <c r="TCF354" s="27"/>
      <c r="TCG354" s="27"/>
      <c r="TCH354" s="27"/>
      <c r="TCI354" s="27"/>
      <c r="TCJ354" s="27"/>
      <c r="TCK354" s="27"/>
      <c r="TCL354" s="27"/>
      <c r="TCM354" s="27"/>
      <c r="TCN354" s="27"/>
      <c r="TCO354" s="27"/>
      <c r="TCP354" s="27"/>
      <c r="TCQ354" s="27"/>
      <c r="TCR354" s="27"/>
      <c r="TCS354" s="27"/>
      <c r="TCT354" s="27"/>
      <c r="TCU354" s="27"/>
      <c r="TCV354" s="27"/>
      <c r="TCW354" s="27"/>
      <c r="TCX354" s="27"/>
      <c r="TCY354" s="27"/>
      <c r="TCZ354" s="27"/>
      <c r="TDA354" s="27"/>
      <c r="TDB354" s="27"/>
      <c r="TDC354" s="27"/>
      <c r="TDD354" s="27"/>
      <c r="TDE354" s="27"/>
      <c r="TDF354" s="27"/>
      <c r="TDG354" s="27"/>
      <c r="TDH354" s="27"/>
      <c r="TDI354" s="27"/>
      <c r="TDJ354" s="27"/>
      <c r="TDK354" s="27"/>
      <c r="TDL354" s="27"/>
      <c r="TDM354" s="27"/>
      <c r="TDN354" s="27"/>
      <c r="TDO354" s="27"/>
      <c r="TDP354" s="27"/>
      <c r="TDQ354" s="27"/>
      <c r="TDR354" s="27"/>
      <c r="TDS354" s="27"/>
      <c r="TDT354" s="27"/>
      <c r="TDU354" s="27"/>
      <c r="TDV354" s="27"/>
      <c r="TDW354" s="27"/>
      <c r="TDX354" s="27"/>
      <c r="TDY354" s="27"/>
      <c r="TDZ354" s="27"/>
      <c r="TEA354" s="27"/>
      <c r="TEB354" s="27"/>
      <c r="TEC354" s="27"/>
      <c r="TED354" s="27"/>
      <c r="TEE354" s="27"/>
      <c r="TEF354" s="27"/>
      <c r="TEG354" s="27"/>
      <c r="TEH354" s="27"/>
      <c r="TEI354" s="27"/>
      <c r="TEJ354" s="27"/>
      <c r="TEK354" s="27"/>
      <c r="TEL354" s="27"/>
      <c r="TEM354" s="27"/>
      <c r="TEN354" s="27"/>
      <c r="TEO354" s="27"/>
      <c r="TEP354" s="27"/>
      <c r="TEQ354" s="27"/>
      <c r="TER354" s="27"/>
      <c r="TES354" s="27"/>
      <c r="TET354" s="27"/>
      <c r="TEU354" s="27"/>
      <c r="TEV354" s="27"/>
      <c r="TEW354" s="27"/>
      <c r="TEX354" s="27"/>
      <c r="TEY354" s="27"/>
      <c r="TEZ354" s="27"/>
      <c r="TFA354" s="27"/>
      <c r="TFB354" s="27"/>
      <c r="TFC354" s="27"/>
      <c r="TFD354" s="27"/>
      <c r="TFE354" s="27"/>
      <c r="TFF354" s="27"/>
      <c r="TFG354" s="27"/>
      <c r="TFH354" s="27"/>
      <c r="TFI354" s="27"/>
      <c r="TFJ354" s="27"/>
      <c r="TFK354" s="27"/>
      <c r="TFL354" s="27"/>
      <c r="TFM354" s="27"/>
      <c r="TFN354" s="27"/>
      <c r="TFO354" s="27"/>
      <c r="TFP354" s="27"/>
      <c r="TFQ354" s="27"/>
      <c r="TFR354" s="27"/>
      <c r="TFS354" s="27"/>
      <c r="TFT354" s="27"/>
      <c r="TFU354" s="27"/>
      <c r="TFV354" s="27"/>
      <c r="TFW354" s="27"/>
      <c r="TFX354" s="27"/>
      <c r="TFY354" s="27"/>
      <c r="TFZ354" s="27"/>
      <c r="TGA354" s="27"/>
      <c r="TGB354" s="27"/>
      <c r="TGC354" s="27"/>
      <c r="TGD354" s="27"/>
      <c r="TGE354" s="27"/>
      <c r="TGF354" s="27"/>
      <c r="TGG354" s="27"/>
      <c r="TGH354" s="27"/>
      <c r="TGI354" s="27"/>
      <c r="TGJ354" s="27"/>
      <c r="TGK354" s="27"/>
      <c r="TGL354" s="27"/>
      <c r="TGM354" s="27"/>
      <c r="TGN354" s="27"/>
      <c r="TGO354" s="27"/>
      <c r="TGP354" s="27"/>
      <c r="TGQ354" s="27"/>
      <c r="TGR354" s="27"/>
      <c r="TGS354" s="27"/>
      <c r="TGT354" s="27"/>
      <c r="TGU354" s="27"/>
      <c r="TGV354" s="27"/>
      <c r="TGW354" s="27"/>
      <c r="TGX354" s="27"/>
      <c r="TGY354" s="27"/>
      <c r="TGZ354" s="27"/>
      <c r="THA354" s="27"/>
      <c r="THB354" s="27"/>
      <c r="THC354" s="27"/>
      <c r="THD354" s="27"/>
      <c r="THE354" s="27"/>
      <c r="THF354" s="27"/>
      <c r="THG354" s="27"/>
      <c r="THH354" s="27"/>
      <c r="THI354" s="27"/>
      <c r="THJ354" s="27"/>
      <c r="THK354" s="27"/>
      <c r="THL354" s="27"/>
      <c r="THM354" s="27"/>
      <c r="THN354" s="27"/>
      <c r="THO354" s="27"/>
      <c r="THP354" s="27"/>
      <c r="THQ354" s="27"/>
      <c r="THR354" s="27"/>
      <c r="THS354" s="27"/>
      <c r="THT354" s="27"/>
      <c r="THU354" s="27"/>
      <c r="THV354" s="27"/>
      <c r="THW354" s="27"/>
      <c r="THX354" s="27"/>
      <c r="THY354" s="27"/>
      <c r="THZ354" s="27"/>
      <c r="TIA354" s="27"/>
      <c r="TIB354" s="27"/>
      <c r="TIC354" s="27"/>
      <c r="TID354" s="27"/>
      <c r="TIE354" s="27"/>
      <c r="TIF354" s="27"/>
      <c r="TIG354" s="27"/>
      <c r="TIH354" s="27"/>
      <c r="TII354" s="27"/>
      <c r="TIJ354" s="27"/>
      <c r="TIK354" s="27"/>
      <c r="TIL354" s="27"/>
      <c r="TIM354" s="27"/>
      <c r="TIN354" s="27"/>
      <c r="TIO354" s="27"/>
      <c r="TIP354" s="27"/>
      <c r="TIQ354" s="27"/>
      <c r="TIR354" s="27"/>
      <c r="TIS354" s="27"/>
      <c r="TIT354" s="27"/>
      <c r="TIU354" s="27"/>
      <c r="TIV354" s="27"/>
      <c r="TIW354" s="27"/>
      <c r="TIX354" s="27"/>
      <c r="TIY354" s="27"/>
      <c r="TIZ354" s="27"/>
      <c r="TJA354" s="27"/>
      <c r="TJB354" s="27"/>
      <c r="TJC354" s="27"/>
      <c r="TJD354" s="27"/>
      <c r="TJE354" s="27"/>
      <c r="TJF354" s="27"/>
      <c r="TJG354" s="27"/>
      <c r="TJH354" s="27"/>
      <c r="TJI354" s="27"/>
      <c r="TJJ354" s="27"/>
      <c r="TJK354" s="27"/>
      <c r="TJL354" s="27"/>
      <c r="TJM354" s="27"/>
      <c r="TJN354" s="27"/>
      <c r="TJO354" s="27"/>
      <c r="TJP354" s="27"/>
      <c r="TJQ354" s="27"/>
      <c r="TJR354" s="27"/>
      <c r="TJS354" s="27"/>
      <c r="TJT354" s="27"/>
      <c r="TJU354" s="27"/>
      <c r="TJV354" s="27"/>
      <c r="TJW354" s="27"/>
      <c r="TJX354" s="27"/>
      <c r="TJY354" s="27"/>
      <c r="TJZ354" s="27"/>
      <c r="TKA354" s="27"/>
      <c r="TKB354" s="27"/>
      <c r="TKC354" s="27"/>
      <c r="TKD354" s="27"/>
      <c r="TKE354" s="27"/>
      <c r="TKF354" s="27"/>
      <c r="TKG354" s="27"/>
      <c r="TKH354" s="27"/>
      <c r="TKI354" s="27"/>
      <c r="TKJ354" s="27"/>
      <c r="TKK354" s="27"/>
      <c r="TKL354" s="27"/>
      <c r="TKM354" s="27"/>
      <c r="TKN354" s="27"/>
      <c r="TKO354" s="27"/>
      <c r="TKP354" s="27"/>
      <c r="TKQ354" s="27"/>
      <c r="TKR354" s="27"/>
      <c r="TKS354" s="27"/>
      <c r="TKT354" s="27"/>
      <c r="TKU354" s="27"/>
      <c r="TKV354" s="27"/>
      <c r="TKW354" s="27"/>
      <c r="TKX354" s="27"/>
      <c r="TKY354" s="27"/>
      <c r="TKZ354" s="27"/>
      <c r="TLA354" s="27"/>
      <c r="TLB354" s="27"/>
      <c r="TLC354" s="27"/>
      <c r="TLD354" s="27"/>
      <c r="TLE354" s="27"/>
      <c r="TLF354" s="27"/>
      <c r="TLG354" s="27"/>
      <c r="TLH354" s="27"/>
      <c r="TLI354" s="27"/>
      <c r="TLJ354" s="27"/>
      <c r="TLK354" s="27"/>
      <c r="TLL354" s="27"/>
      <c r="TLM354" s="27"/>
      <c r="TLN354" s="27"/>
      <c r="TLO354" s="27"/>
      <c r="TLP354" s="27"/>
      <c r="TLQ354" s="27"/>
      <c r="TLR354" s="27"/>
      <c r="TLS354" s="27"/>
      <c r="TLT354" s="27"/>
      <c r="TLU354" s="27"/>
      <c r="TLV354" s="27"/>
      <c r="TLW354" s="27"/>
      <c r="TLX354" s="27"/>
      <c r="TLY354" s="27"/>
      <c r="TLZ354" s="27"/>
      <c r="TMA354" s="27"/>
      <c r="TMB354" s="27"/>
      <c r="TMC354" s="27"/>
      <c r="TMD354" s="27"/>
      <c r="TME354" s="27"/>
      <c r="TMF354" s="27"/>
      <c r="TMG354" s="27"/>
      <c r="TMH354" s="27"/>
      <c r="TMI354" s="27"/>
      <c r="TMJ354" s="27"/>
      <c r="TMK354" s="27"/>
      <c r="TML354" s="27"/>
      <c r="TMM354" s="27"/>
      <c r="TMN354" s="27"/>
      <c r="TMO354" s="27"/>
      <c r="TMP354" s="27"/>
      <c r="TMQ354" s="27"/>
      <c r="TMR354" s="27"/>
      <c r="TMS354" s="27"/>
      <c r="TMT354" s="27"/>
      <c r="TMU354" s="27"/>
      <c r="TMV354" s="27"/>
      <c r="TMW354" s="27"/>
      <c r="TMX354" s="27"/>
      <c r="TMY354" s="27"/>
      <c r="TMZ354" s="27"/>
      <c r="TNA354" s="27"/>
      <c r="TNB354" s="27"/>
      <c r="TNC354" s="27"/>
      <c r="TND354" s="27"/>
      <c r="TNE354" s="27"/>
      <c r="TNF354" s="27"/>
      <c r="TNG354" s="27"/>
      <c r="TNH354" s="27"/>
      <c r="TNI354" s="27"/>
      <c r="TNJ354" s="27"/>
      <c r="TNK354" s="27"/>
      <c r="TNL354" s="27"/>
      <c r="TNM354" s="27"/>
      <c r="TNN354" s="27"/>
      <c r="TNO354" s="27"/>
      <c r="TNP354" s="27"/>
      <c r="TNQ354" s="27"/>
      <c r="TNR354" s="27"/>
      <c r="TNS354" s="27"/>
      <c r="TNT354" s="27"/>
      <c r="TNU354" s="27"/>
      <c r="TNV354" s="27"/>
      <c r="TNW354" s="27"/>
      <c r="TNX354" s="27"/>
      <c r="TNY354" s="27"/>
      <c r="TNZ354" s="27"/>
      <c r="TOA354" s="27"/>
      <c r="TOB354" s="27"/>
      <c r="TOC354" s="27"/>
      <c r="TOD354" s="27"/>
      <c r="TOE354" s="27"/>
      <c r="TOF354" s="27"/>
      <c r="TOG354" s="27"/>
      <c r="TOH354" s="27"/>
      <c r="TOI354" s="27"/>
      <c r="TOJ354" s="27"/>
      <c r="TOK354" s="27"/>
      <c r="TOL354" s="27"/>
      <c r="TOM354" s="27"/>
      <c r="TON354" s="27"/>
      <c r="TOO354" s="27"/>
      <c r="TOP354" s="27"/>
      <c r="TOQ354" s="27"/>
      <c r="TOR354" s="27"/>
      <c r="TOS354" s="27"/>
      <c r="TOT354" s="27"/>
      <c r="TOU354" s="27"/>
      <c r="TOV354" s="27"/>
      <c r="TOW354" s="27"/>
      <c r="TOX354" s="27"/>
      <c r="TOY354" s="27"/>
      <c r="TOZ354" s="27"/>
      <c r="TPA354" s="27"/>
      <c r="TPB354" s="27"/>
      <c r="TPC354" s="27"/>
      <c r="TPD354" s="27"/>
      <c r="TPE354" s="27"/>
      <c r="TPF354" s="27"/>
      <c r="TPG354" s="27"/>
      <c r="TPH354" s="27"/>
      <c r="TPI354" s="27"/>
      <c r="TPJ354" s="27"/>
      <c r="TPK354" s="27"/>
      <c r="TPL354" s="27"/>
      <c r="TPM354" s="27"/>
      <c r="TPN354" s="27"/>
      <c r="TPO354" s="27"/>
      <c r="TPP354" s="27"/>
      <c r="TPQ354" s="27"/>
      <c r="TPR354" s="27"/>
      <c r="TPS354" s="27"/>
      <c r="TPT354" s="27"/>
      <c r="TPU354" s="27"/>
      <c r="TPV354" s="27"/>
      <c r="TPW354" s="27"/>
      <c r="TPX354" s="27"/>
      <c r="TPY354" s="27"/>
      <c r="TPZ354" s="27"/>
      <c r="TQA354" s="27"/>
      <c r="TQB354" s="27"/>
      <c r="TQC354" s="27"/>
      <c r="TQD354" s="27"/>
      <c r="TQE354" s="27"/>
      <c r="TQF354" s="27"/>
      <c r="TQG354" s="27"/>
      <c r="TQH354" s="27"/>
      <c r="TQI354" s="27"/>
      <c r="TQJ354" s="27"/>
      <c r="TQK354" s="27"/>
      <c r="TQL354" s="27"/>
      <c r="TQM354" s="27"/>
      <c r="TQN354" s="27"/>
      <c r="TQO354" s="27"/>
      <c r="TQP354" s="27"/>
      <c r="TQQ354" s="27"/>
      <c r="TQR354" s="27"/>
      <c r="TQS354" s="27"/>
      <c r="TQT354" s="27"/>
      <c r="TQU354" s="27"/>
      <c r="TQV354" s="27"/>
      <c r="TQW354" s="27"/>
      <c r="TQX354" s="27"/>
      <c r="TQY354" s="27"/>
      <c r="TQZ354" s="27"/>
      <c r="TRA354" s="27"/>
      <c r="TRB354" s="27"/>
      <c r="TRC354" s="27"/>
      <c r="TRD354" s="27"/>
      <c r="TRE354" s="27"/>
      <c r="TRF354" s="27"/>
      <c r="TRG354" s="27"/>
      <c r="TRH354" s="27"/>
      <c r="TRI354" s="27"/>
      <c r="TRJ354" s="27"/>
      <c r="TRK354" s="27"/>
      <c r="TRL354" s="27"/>
      <c r="TRM354" s="27"/>
      <c r="TRN354" s="27"/>
      <c r="TRO354" s="27"/>
      <c r="TRP354" s="27"/>
      <c r="TRQ354" s="27"/>
      <c r="TRR354" s="27"/>
      <c r="TRS354" s="27"/>
      <c r="TRT354" s="27"/>
      <c r="TRU354" s="27"/>
      <c r="TRV354" s="27"/>
      <c r="TRW354" s="27"/>
      <c r="TRX354" s="27"/>
      <c r="TRY354" s="27"/>
      <c r="TRZ354" s="27"/>
      <c r="TSA354" s="27"/>
      <c r="TSB354" s="27"/>
      <c r="TSC354" s="27"/>
      <c r="TSD354" s="27"/>
      <c r="TSE354" s="27"/>
      <c r="TSF354" s="27"/>
      <c r="TSG354" s="27"/>
      <c r="TSH354" s="27"/>
      <c r="TSI354" s="27"/>
      <c r="TSJ354" s="27"/>
      <c r="TSK354" s="27"/>
      <c r="TSL354" s="27"/>
      <c r="TSM354" s="27"/>
      <c r="TSN354" s="27"/>
      <c r="TSO354" s="27"/>
      <c r="TSP354" s="27"/>
      <c r="TSQ354" s="27"/>
      <c r="TSR354" s="27"/>
      <c r="TSS354" s="27"/>
      <c r="TST354" s="27"/>
      <c r="TSU354" s="27"/>
      <c r="TSV354" s="27"/>
      <c r="TSW354" s="27"/>
      <c r="TSX354" s="27"/>
      <c r="TSY354" s="27"/>
      <c r="TSZ354" s="27"/>
      <c r="TTA354" s="27"/>
      <c r="TTB354" s="27"/>
      <c r="TTC354" s="27"/>
      <c r="TTD354" s="27"/>
      <c r="TTE354" s="27"/>
      <c r="TTF354" s="27"/>
      <c r="TTG354" s="27"/>
      <c r="TTH354" s="27"/>
      <c r="TTI354" s="27"/>
      <c r="TTJ354" s="27"/>
      <c r="TTK354" s="27"/>
      <c r="TTL354" s="27"/>
      <c r="TTM354" s="27"/>
      <c r="TTN354" s="27"/>
      <c r="TTO354" s="27"/>
      <c r="TTP354" s="27"/>
      <c r="TTQ354" s="27"/>
      <c r="TTR354" s="27"/>
      <c r="TTS354" s="27"/>
      <c r="TTT354" s="27"/>
      <c r="TTU354" s="27"/>
      <c r="TTV354" s="27"/>
      <c r="TTW354" s="27"/>
      <c r="TTX354" s="27"/>
      <c r="TTY354" s="27"/>
      <c r="TTZ354" s="27"/>
      <c r="TUA354" s="27"/>
      <c r="TUB354" s="27"/>
      <c r="TUC354" s="27"/>
      <c r="TUD354" s="27"/>
      <c r="TUE354" s="27"/>
      <c r="TUF354" s="27"/>
      <c r="TUG354" s="27"/>
      <c r="TUH354" s="27"/>
      <c r="TUI354" s="27"/>
      <c r="TUJ354" s="27"/>
      <c r="TUK354" s="27"/>
      <c r="TUL354" s="27"/>
      <c r="TUM354" s="27"/>
      <c r="TUN354" s="27"/>
      <c r="TUO354" s="27"/>
      <c r="TUP354" s="27"/>
      <c r="TUQ354" s="27"/>
      <c r="TUR354" s="27"/>
      <c r="TUS354" s="27"/>
      <c r="TUT354" s="27"/>
      <c r="TUU354" s="27"/>
      <c r="TUV354" s="27"/>
      <c r="TUW354" s="27"/>
      <c r="TUX354" s="27"/>
      <c r="TUY354" s="27"/>
      <c r="TUZ354" s="27"/>
      <c r="TVA354" s="27"/>
      <c r="TVB354" s="27"/>
      <c r="TVC354" s="27"/>
      <c r="TVD354" s="27"/>
      <c r="TVE354" s="27"/>
      <c r="TVF354" s="27"/>
      <c r="TVG354" s="27"/>
      <c r="TVH354" s="27"/>
      <c r="TVI354" s="27"/>
      <c r="TVJ354" s="27"/>
      <c r="TVK354" s="27"/>
      <c r="TVL354" s="27"/>
      <c r="TVM354" s="27"/>
      <c r="TVN354" s="27"/>
      <c r="TVO354" s="27"/>
      <c r="TVP354" s="27"/>
      <c r="TVQ354" s="27"/>
      <c r="TVR354" s="27"/>
      <c r="TVS354" s="27"/>
      <c r="TVT354" s="27"/>
      <c r="TVU354" s="27"/>
      <c r="TVV354" s="27"/>
      <c r="TVW354" s="27"/>
      <c r="TVX354" s="27"/>
      <c r="TVY354" s="27"/>
      <c r="TVZ354" s="27"/>
      <c r="TWA354" s="27"/>
      <c r="TWB354" s="27"/>
      <c r="TWC354" s="27"/>
      <c r="TWD354" s="27"/>
      <c r="TWE354" s="27"/>
      <c r="TWF354" s="27"/>
      <c r="TWG354" s="27"/>
      <c r="TWH354" s="27"/>
      <c r="TWI354" s="27"/>
      <c r="TWJ354" s="27"/>
      <c r="TWK354" s="27"/>
      <c r="TWL354" s="27"/>
      <c r="TWM354" s="27"/>
      <c r="TWN354" s="27"/>
      <c r="TWO354" s="27"/>
      <c r="TWP354" s="27"/>
      <c r="TWQ354" s="27"/>
      <c r="TWR354" s="27"/>
      <c r="TWS354" s="27"/>
      <c r="TWT354" s="27"/>
      <c r="TWU354" s="27"/>
      <c r="TWV354" s="27"/>
      <c r="TWW354" s="27"/>
      <c r="TWX354" s="27"/>
      <c r="TWY354" s="27"/>
      <c r="TWZ354" s="27"/>
      <c r="TXA354" s="27"/>
      <c r="TXB354" s="27"/>
      <c r="TXC354" s="27"/>
      <c r="TXD354" s="27"/>
      <c r="TXE354" s="27"/>
      <c r="TXF354" s="27"/>
      <c r="TXG354" s="27"/>
      <c r="TXH354" s="27"/>
      <c r="TXI354" s="27"/>
      <c r="TXJ354" s="27"/>
      <c r="TXK354" s="27"/>
      <c r="TXL354" s="27"/>
      <c r="TXM354" s="27"/>
      <c r="TXN354" s="27"/>
      <c r="TXO354" s="27"/>
      <c r="TXP354" s="27"/>
      <c r="TXQ354" s="27"/>
      <c r="TXR354" s="27"/>
      <c r="TXS354" s="27"/>
      <c r="TXT354" s="27"/>
      <c r="TXU354" s="27"/>
      <c r="TXV354" s="27"/>
      <c r="TXW354" s="27"/>
      <c r="TXX354" s="27"/>
      <c r="TXY354" s="27"/>
      <c r="TXZ354" s="27"/>
      <c r="TYA354" s="27"/>
      <c r="TYB354" s="27"/>
      <c r="TYC354" s="27"/>
      <c r="TYD354" s="27"/>
      <c r="TYE354" s="27"/>
      <c r="TYF354" s="27"/>
      <c r="TYG354" s="27"/>
      <c r="TYH354" s="27"/>
      <c r="TYI354" s="27"/>
      <c r="TYJ354" s="27"/>
      <c r="TYK354" s="27"/>
      <c r="TYL354" s="27"/>
      <c r="TYM354" s="27"/>
      <c r="TYN354" s="27"/>
      <c r="TYO354" s="27"/>
      <c r="TYP354" s="27"/>
      <c r="TYQ354" s="27"/>
      <c r="TYR354" s="27"/>
      <c r="TYS354" s="27"/>
      <c r="TYT354" s="27"/>
      <c r="TYU354" s="27"/>
      <c r="TYV354" s="27"/>
      <c r="TYW354" s="27"/>
      <c r="TYX354" s="27"/>
      <c r="TYY354" s="27"/>
      <c r="TYZ354" s="27"/>
      <c r="TZA354" s="27"/>
      <c r="TZB354" s="27"/>
      <c r="TZC354" s="27"/>
      <c r="TZD354" s="27"/>
      <c r="TZE354" s="27"/>
      <c r="TZF354" s="27"/>
      <c r="TZG354" s="27"/>
      <c r="TZH354" s="27"/>
      <c r="TZI354" s="27"/>
      <c r="TZJ354" s="27"/>
      <c r="TZK354" s="27"/>
      <c r="TZL354" s="27"/>
      <c r="TZM354" s="27"/>
      <c r="TZN354" s="27"/>
      <c r="TZO354" s="27"/>
      <c r="TZP354" s="27"/>
      <c r="TZQ354" s="27"/>
      <c r="TZR354" s="27"/>
      <c r="TZS354" s="27"/>
      <c r="TZT354" s="27"/>
      <c r="TZU354" s="27"/>
      <c r="TZV354" s="27"/>
      <c r="TZW354" s="27"/>
      <c r="TZX354" s="27"/>
      <c r="TZY354" s="27"/>
      <c r="TZZ354" s="27"/>
      <c r="UAA354" s="27"/>
      <c r="UAB354" s="27"/>
      <c r="UAC354" s="27"/>
      <c r="UAD354" s="27"/>
      <c r="UAE354" s="27"/>
      <c r="UAF354" s="27"/>
      <c r="UAG354" s="27"/>
      <c r="UAH354" s="27"/>
      <c r="UAI354" s="27"/>
      <c r="UAJ354" s="27"/>
      <c r="UAK354" s="27"/>
      <c r="UAL354" s="27"/>
      <c r="UAM354" s="27"/>
      <c r="UAN354" s="27"/>
      <c r="UAO354" s="27"/>
      <c r="UAP354" s="27"/>
      <c r="UAQ354" s="27"/>
      <c r="UAR354" s="27"/>
      <c r="UAS354" s="27"/>
      <c r="UAT354" s="27"/>
      <c r="UAU354" s="27"/>
      <c r="UAV354" s="27"/>
      <c r="UAW354" s="27"/>
      <c r="UAX354" s="27"/>
      <c r="UAY354" s="27"/>
      <c r="UAZ354" s="27"/>
      <c r="UBA354" s="27"/>
      <c r="UBB354" s="27"/>
      <c r="UBC354" s="27"/>
      <c r="UBD354" s="27"/>
      <c r="UBE354" s="27"/>
      <c r="UBF354" s="27"/>
      <c r="UBG354" s="27"/>
      <c r="UBH354" s="27"/>
      <c r="UBI354" s="27"/>
      <c r="UBJ354" s="27"/>
      <c r="UBK354" s="27"/>
      <c r="UBL354" s="27"/>
      <c r="UBM354" s="27"/>
      <c r="UBN354" s="27"/>
      <c r="UBO354" s="27"/>
      <c r="UBP354" s="27"/>
      <c r="UBQ354" s="27"/>
      <c r="UBR354" s="27"/>
      <c r="UBS354" s="27"/>
      <c r="UBT354" s="27"/>
      <c r="UBU354" s="27"/>
      <c r="UBV354" s="27"/>
      <c r="UBW354" s="27"/>
      <c r="UBX354" s="27"/>
      <c r="UBY354" s="27"/>
      <c r="UBZ354" s="27"/>
      <c r="UCA354" s="27"/>
      <c r="UCB354" s="27"/>
      <c r="UCC354" s="27"/>
      <c r="UCD354" s="27"/>
      <c r="UCE354" s="27"/>
      <c r="UCF354" s="27"/>
      <c r="UCG354" s="27"/>
      <c r="UCH354" s="27"/>
      <c r="UCI354" s="27"/>
      <c r="UCJ354" s="27"/>
      <c r="UCK354" s="27"/>
      <c r="UCL354" s="27"/>
      <c r="UCM354" s="27"/>
      <c r="UCN354" s="27"/>
      <c r="UCO354" s="27"/>
      <c r="UCP354" s="27"/>
      <c r="UCQ354" s="27"/>
      <c r="UCR354" s="27"/>
      <c r="UCS354" s="27"/>
      <c r="UCT354" s="27"/>
      <c r="UCU354" s="27"/>
      <c r="UCV354" s="27"/>
      <c r="UCW354" s="27"/>
      <c r="UCX354" s="27"/>
      <c r="UCY354" s="27"/>
      <c r="UCZ354" s="27"/>
      <c r="UDA354" s="27"/>
      <c r="UDB354" s="27"/>
      <c r="UDC354" s="27"/>
      <c r="UDD354" s="27"/>
      <c r="UDE354" s="27"/>
      <c r="UDF354" s="27"/>
      <c r="UDG354" s="27"/>
      <c r="UDH354" s="27"/>
      <c r="UDI354" s="27"/>
      <c r="UDJ354" s="27"/>
      <c r="UDK354" s="27"/>
      <c r="UDL354" s="27"/>
      <c r="UDM354" s="27"/>
      <c r="UDN354" s="27"/>
      <c r="UDO354" s="27"/>
      <c r="UDP354" s="27"/>
      <c r="UDQ354" s="27"/>
      <c r="UDR354" s="27"/>
      <c r="UDS354" s="27"/>
      <c r="UDT354" s="27"/>
      <c r="UDU354" s="27"/>
      <c r="UDV354" s="27"/>
      <c r="UDW354" s="27"/>
      <c r="UDX354" s="27"/>
      <c r="UDY354" s="27"/>
      <c r="UDZ354" s="27"/>
      <c r="UEA354" s="27"/>
      <c r="UEB354" s="27"/>
      <c r="UEC354" s="27"/>
      <c r="UED354" s="27"/>
      <c r="UEE354" s="27"/>
      <c r="UEF354" s="27"/>
      <c r="UEG354" s="27"/>
      <c r="UEH354" s="27"/>
      <c r="UEI354" s="27"/>
      <c r="UEJ354" s="27"/>
      <c r="UEK354" s="27"/>
      <c r="UEL354" s="27"/>
      <c r="UEM354" s="27"/>
      <c r="UEN354" s="27"/>
      <c r="UEO354" s="27"/>
      <c r="UEP354" s="27"/>
      <c r="UEQ354" s="27"/>
      <c r="UER354" s="27"/>
      <c r="UES354" s="27"/>
      <c r="UET354" s="27"/>
      <c r="UEU354" s="27"/>
      <c r="UEV354" s="27"/>
      <c r="UEW354" s="27"/>
      <c r="UEX354" s="27"/>
      <c r="UEY354" s="27"/>
      <c r="UEZ354" s="27"/>
      <c r="UFA354" s="27"/>
      <c r="UFB354" s="27"/>
      <c r="UFC354" s="27"/>
      <c r="UFD354" s="27"/>
      <c r="UFE354" s="27"/>
      <c r="UFF354" s="27"/>
      <c r="UFG354" s="27"/>
      <c r="UFH354" s="27"/>
      <c r="UFI354" s="27"/>
      <c r="UFJ354" s="27"/>
      <c r="UFK354" s="27"/>
      <c r="UFL354" s="27"/>
      <c r="UFM354" s="27"/>
      <c r="UFN354" s="27"/>
      <c r="UFO354" s="27"/>
      <c r="UFP354" s="27"/>
      <c r="UFQ354" s="27"/>
      <c r="UFR354" s="27"/>
      <c r="UFS354" s="27"/>
      <c r="UFT354" s="27"/>
      <c r="UFU354" s="27"/>
      <c r="UFV354" s="27"/>
      <c r="UFW354" s="27"/>
      <c r="UFX354" s="27"/>
      <c r="UFY354" s="27"/>
      <c r="UFZ354" s="27"/>
      <c r="UGA354" s="27"/>
      <c r="UGB354" s="27"/>
      <c r="UGC354" s="27"/>
      <c r="UGD354" s="27"/>
      <c r="UGE354" s="27"/>
      <c r="UGF354" s="27"/>
      <c r="UGG354" s="27"/>
      <c r="UGH354" s="27"/>
      <c r="UGI354" s="27"/>
      <c r="UGJ354" s="27"/>
      <c r="UGK354" s="27"/>
      <c r="UGL354" s="27"/>
      <c r="UGM354" s="27"/>
      <c r="UGN354" s="27"/>
      <c r="UGO354" s="27"/>
      <c r="UGP354" s="27"/>
      <c r="UGQ354" s="27"/>
      <c r="UGR354" s="27"/>
      <c r="UGS354" s="27"/>
      <c r="UGT354" s="27"/>
      <c r="UGU354" s="27"/>
      <c r="UGV354" s="27"/>
      <c r="UGW354" s="27"/>
      <c r="UGX354" s="27"/>
      <c r="UGY354" s="27"/>
      <c r="UGZ354" s="27"/>
      <c r="UHA354" s="27"/>
      <c r="UHB354" s="27"/>
      <c r="UHC354" s="27"/>
      <c r="UHD354" s="27"/>
      <c r="UHE354" s="27"/>
      <c r="UHF354" s="27"/>
      <c r="UHG354" s="27"/>
      <c r="UHH354" s="27"/>
      <c r="UHI354" s="27"/>
      <c r="UHJ354" s="27"/>
      <c r="UHK354" s="27"/>
      <c r="UHL354" s="27"/>
      <c r="UHM354" s="27"/>
      <c r="UHN354" s="27"/>
      <c r="UHO354" s="27"/>
      <c r="UHP354" s="27"/>
      <c r="UHQ354" s="27"/>
      <c r="UHR354" s="27"/>
      <c r="UHS354" s="27"/>
      <c r="UHT354" s="27"/>
      <c r="UHU354" s="27"/>
      <c r="UHV354" s="27"/>
      <c r="UHW354" s="27"/>
      <c r="UHX354" s="27"/>
      <c r="UHY354" s="27"/>
      <c r="UHZ354" s="27"/>
      <c r="UIA354" s="27"/>
      <c r="UIB354" s="27"/>
      <c r="UIC354" s="27"/>
      <c r="UID354" s="27"/>
      <c r="UIE354" s="27"/>
      <c r="UIF354" s="27"/>
      <c r="UIG354" s="27"/>
      <c r="UIH354" s="27"/>
      <c r="UII354" s="27"/>
      <c r="UIJ354" s="27"/>
      <c r="UIK354" s="27"/>
      <c r="UIL354" s="27"/>
      <c r="UIM354" s="27"/>
      <c r="UIN354" s="27"/>
      <c r="UIO354" s="27"/>
      <c r="UIP354" s="27"/>
      <c r="UIQ354" s="27"/>
      <c r="UIR354" s="27"/>
      <c r="UIS354" s="27"/>
      <c r="UIT354" s="27"/>
      <c r="UIU354" s="27"/>
      <c r="UIV354" s="27"/>
      <c r="UIW354" s="27"/>
      <c r="UIX354" s="27"/>
      <c r="UIY354" s="27"/>
      <c r="UIZ354" s="27"/>
      <c r="UJA354" s="27"/>
      <c r="UJB354" s="27"/>
      <c r="UJC354" s="27"/>
      <c r="UJD354" s="27"/>
      <c r="UJE354" s="27"/>
      <c r="UJF354" s="27"/>
      <c r="UJG354" s="27"/>
      <c r="UJH354" s="27"/>
      <c r="UJI354" s="27"/>
      <c r="UJJ354" s="27"/>
      <c r="UJK354" s="27"/>
      <c r="UJL354" s="27"/>
      <c r="UJM354" s="27"/>
      <c r="UJN354" s="27"/>
      <c r="UJO354" s="27"/>
      <c r="UJP354" s="27"/>
      <c r="UJQ354" s="27"/>
      <c r="UJR354" s="27"/>
      <c r="UJS354" s="27"/>
      <c r="UJT354" s="27"/>
      <c r="UJU354" s="27"/>
      <c r="UJV354" s="27"/>
      <c r="UJW354" s="27"/>
      <c r="UJX354" s="27"/>
      <c r="UJY354" s="27"/>
      <c r="UJZ354" s="27"/>
      <c r="UKA354" s="27"/>
      <c r="UKB354" s="27"/>
      <c r="UKC354" s="27"/>
      <c r="UKD354" s="27"/>
      <c r="UKE354" s="27"/>
      <c r="UKF354" s="27"/>
      <c r="UKG354" s="27"/>
      <c r="UKH354" s="27"/>
      <c r="UKI354" s="27"/>
      <c r="UKJ354" s="27"/>
      <c r="UKK354" s="27"/>
      <c r="UKL354" s="27"/>
      <c r="UKM354" s="27"/>
      <c r="UKN354" s="27"/>
      <c r="UKO354" s="27"/>
      <c r="UKP354" s="27"/>
      <c r="UKQ354" s="27"/>
      <c r="UKR354" s="27"/>
      <c r="UKS354" s="27"/>
      <c r="UKT354" s="27"/>
      <c r="UKU354" s="27"/>
      <c r="UKV354" s="27"/>
      <c r="UKW354" s="27"/>
      <c r="UKX354" s="27"/>
      <c r="UKY354" s="27"/>
      <c r="UKZ354" s="27"/>
      <c r="ULA354" s="27"/>
      <c r="ULB354" s="27"/>
      <c r="ULC354" s="27"/>
      <c r="ULD354" s="27"/>
      <c r="ULE354" s="27"/>
      <c r="ULF354" s="27"/>
      <c r="ULG354" s="27"/>
      <c r="ULH354" s="27"/>
      <c r="ULI354" s="27"/>
      <c r="ULJ354" s="27"/>
      <c r="ULK354" s="27"/>
      <c r="ULL354" s="27"/>
      <c r="ULM354" s="27"/>
      <c r="ULN354" s="27"/>
      <c r="ULO354" s="27"/>
      <c r="ULP354" s="27"/>
      <c r="ULQ354" s="27"/>
      <c r="ULR354" s="27"/>
      <c r="ULS354" s="27"/>
      <c r="ULT354" s="27"/>
      <c r="ULU354" s="27"/>
      <c r="ULV354" s="27"/>
      <c r="ULW354" s="27"/>
      <c r="ULX354" s="27"/>
      <c r="ULY354" s="27"/>
      <c r="ULZ354" s="27"/>
      <c r="UMA354" s="27"/>
      <c r="UMB354" s="27"/>
      <c r="UMC354" s="27"/>
      <c r="UMD354" s="27"/>
      <c r="UME354" s="27"/>
      <c r="UMF354" s="27"/>
      <c r="UMG354" s="27"/>
      <c r="UMH354" s="27"/>
      <c r="UMI354" s="27"/>
      <c r="UMJ354" s="27"/>
      <c r="UMK354" s="27"/>
      <c r="UML354" s="27"/>
      <c r="UMM354" s="27"/>
      <c r="UMN354" s="27"/>
      <c r="UMO354" s="27"/>
      <c r="UMP354" s="27"/>
      <c r="UMQ354" s="27"/>
      <c r="UMR354" s="27"/>
      <c r="UMS354" s="27"/>
      <c r="UMT354" s="27"/>
      <c r="UMU354" s="27"/>
      <c r="UMV354" s="27"/>
      <c r="UMW354" s="27"/>
      <c r="UMX354" s="27"/>
      <c r="UMY354" s="27"/>
      <c r="UMZ354" s="27"/>
      <c r="UNA354" s="27"/>
      <c r="UNB354" s="27"/>
      <c r="UNC354" s="27"/>
      <c r="UND354" s="27"/>
      <c r="UNE354" s="27"/>
      <c r="UNF354" s="27"/>
      <c r="UNG354" s="27"/>
      <c r="UNH354" s="27"/>
      <c r="UNI354" s="27"/>
      <c r="UNJ354" s="27"/>
      <c r="UNK354" s="27"/>
      <c r="UNL354" s="27"/>
      <c r="UNM354" s="27"/>
      <c r="UNN354" s="27"/>
      <c r="UNO354" s="27"/>
      <c r="UNP354" s="27"/>
      <c r="UNQ354" s="27"/>
      <c r="UNR354" s="27"/>
      <c r="UNS354" s="27"/>
      <c r="UNT354" s="27"/>
      <c r="UNU354" s="27"/>
      <c r="UNV354" s="27"/>
      <c r="UNW354" s="27"/>
      <c r="UNX354" s="27"/>
      <c r="UNY354" s="27"/>
      <c r="UNZ354" s="27"/>
      <c r="UOA354" s="27"/>
      <c r="UOB354" s="27"/>
      <c r="UOC354" s="27"/>
      <c r="UOD354" s="27"/>
      <c r="UOE354" s="27"/>
      <c r="UOF354" s="27"/>
      <c r="UOG354" s="27"/>
      <c r="UOH354" s="27"/>
      <c r="UOI354" s="27"/>
      <c r="UOJ354" s="27"/>
      <c r="UOK354" s="27"/>
      <c r="UOL354" s="27"/>
      <c r="UOM354" s="27"/>
      <c r="UON354" s="27"/>
      <c r="UOO354" s="27"/>
      <c r="UOP354" s="27"/>
      <c r="UOQ354" s="27"/>
      <c r="UOR354" s="27"/>
      <c r="UOS354" s="27"/>
      <c r="UOT354" s="27"/>
      <c r="UOU354" s="27"/>
      <c r="UOV354" s="27"/>
      <c r="UOW354" s="27"/>
      <c r="UOX354" s="27"/>
      <c r="UOY354" s="27"/>
      <c r="UOZ354" s="27"/>
      <c r="UPA354" s="27"/>
      <c r="UPB354" s="27"/>
      <c r="UPC354" s="27"/>
      <c r="UPD354" s="27"/>
      <c r="UPE354" s="27"/>
      <c r="UPF354" s="27"/>
      <c r="UPG354" s="27"/>
      <c r="UPH354" s="27"/>
      <c r="UPI354" s="27"/>
      <c r="UPJ354" s="27"/>
      <c r="UPK354" s="27"/>
      <c r="UPL354" s="27"/>
      <c r="UPM354" s="27"/>
      <c r="UPN354" s="27"/>
      <c r="UPO354" s="27"/>
      <c r="UPP354" s="27"/>
      <c r="UPQ354" s="27"/>
      <c r="UPR354" s="27"/>
      <c r="UPS354" s="27"/>
      <c r="UPT354" s="27"/>
      <c r="UPU354" s="27"/>
      <c r="UPV354" s="27"/>
      <c r="UPW354" s="27"/>
      <c r="UPX354" s="27"/>
      <c r="UPY354" s="27"/>
      <c r="UPZ354" s="27"/>
      <c r="UQA354" s="27"/>
      <c r="UQB354" s="27"/>
      <c r="UQC354" s="27"/>
      <c r="UQD354" s="27"/>
      <c r="UQE354" s="27"/>
      <c r="UQF354" s="27"/>
      <c r="UQG354" s="27"/>
      <c r="UQH354" s="27"/>
      <c r="UQI354" s="27"/>
      <c r="UQJ354" s="27"/>
      <c r="UQK354" s="27"/>
      <c r="UQL354" s="27"/>
      <c r="UQM354" s="27"/>
      <c r="UQN354" s="27"/>
      <c r="UQO354" s="27"/>
      <c r="UQP354" s="27"/>
      <c r="UQQ354" s="27"/>
      <c r="UQR354" s="27"/>
      <c r="UQS354" s="27"/>
      <c r="UQT354" s="27"/>
      <c r="UQU354" s="27"/>
      <c r="UQV354" s="27"/>
      <c r="UQW354" s="27"/>
      <c r="UQX354" s="27"/>
      <c r="UQY354" s="27"/>
      <c r="UQZ354" s="27"/>
      <c r="URA354" s="27"/>
      <c r="URB354" s="27"/>
      <c r="URC354" s="27"/>
      <c r="URD354" s="27"/>
      <c r="URE354" s="27"/>
      <c r="URF354" s="27"/>
      <c r="URG354" s="27"/>
      <c r="URH354" s="27"/>
      <c r="URI354" s="27"/>
      <c r="URJ354" s="27"/>
      <c r="URK354" s="27"/>
      <c r="URL354" s="27"/>
      <c r="URM354" s="27"/>
      <c r="URN354" s="27"/>
      <c r="URO354" s="27"/>
      <c r="URP354" s="27"/>
      <c r="URQ354" s="27"/>
      <c r="URR354" s="27"/>
      <c r="URS354" s="27"/>
      <c r="URT354" s="27"/>
      <c r="URU354" s="27"/>
      <c r="URV354" s="27"/>
      <c r="URW354" s="27"/>
      <c r="URX354" s="27"/>
      <c r="URY354" s="27"/>
      <c r="URZ354" s="27"/>
      <c r="USA354" s="27"/>
      <c r="USB354" s="27"/>
      <c r="USC354" s="27"/>
      <c r="USD354" s="27"/>
      <c r="USE354" s="27"/>
      <c r="USF354" s="27"/>
      <c r="USG354" s="27"/>
      <c r="USH354" s="27"/>
      <c r="USI354" s="27"/>
      <c r="USJ354" s="27"/>
      <c r="USK354" s="27"/>
      <c r="USL354" s="27"/>
      <c r="USM354" s="27"/>
      <c r="USN354" s="27"/>
      <c r="USO354" s="27"/>
      <c r="USP354" s="27"/>
      <c r="USQ354" s="27"/>
      <c r="USR354" s="27"/>
      <c r="USS354" s="27"/>
      <c r="UST354" s="27"/>
      <c r="USU354" s="27"/>
      <c r="USV354" s="27"/>
      <c r="USW354" s="27"/>
      <c r="USX354" s="27"/>
      <c r="USY354" s="27"/>
      <c r="USZ354" s="27"/>
      <c r="UTA354" s="27"/>
      <c r="UTB354" s="27"/>
      <c r="UTC354" s="27"/>
      <c r="UTD354" s="27"/>
      <c r="UTE354" s="27"/>
      <c r="UTF354" s="27"/>
      <c r="UTG354" s="27"/>
      <c r="UTH354" s="27"/>
      <c r="UTI354" s="27"/>
      <c r="UTJ354" s="27"/>
      <c r="UTK354" s="27"/>
      <c r="UTL354" s="27"/>
      <c r="UTM354" s="27"/>
      <c r="UTN354" s="27"/>
      <c r="UTO354" s="27"/>
      <c r="UTP354" s="27"/>
      <c r="UTQ354" s="27"/>
      <c r="UTR354" s="27"/>
      <c r="UTS354" s="27"/>
      <c r="UTT354" s="27"/>
      <c r="UTU354" s="27"/>
      <c r="UTV354" s="27"/>
      <c r="UTW354" s="27"/>
      <c r="UTX354" s="27"/>
      <c r="UTY354" s="27"/>
      <c r="UTZ354" s="27"/>
      <c r="UUA354" s="27"/>
      <c r="UUB354" s="27"/>
      <c r="UUC354" s="27"/>
      <c r="UUD354" s="27"/>
      <c r="UUE354" s="27"/>
      <c r="UUF354" s="27"/>
      <c r="UUG354" s="27"/>
      <c r="UUH354" s="27"/>
      <c r="UUI354" s="27"/>
      <c r="UUJ354" s="27"/>
      <c r="UUK354" s="27"/>
      <c r="UUL354" s="27"/>
      <c r="UUM354" s="27"/>
      <c r="UUN354" s="27"/>
      <c r="UUO354" s="27"/>
      <c r="UUP354" s="27"/>
      <c r="UUQ354" s="27"/>
      <c r="UUR354" s="27"/>
      <c r="UUS354" s="27"/>
      <c r="UUT354" s="27"/>
      <c r="UUU354" s="27"/>
      <c r="UUV354" s="27"/>
      <c r="UUW354" s="27"/>
      <c r="UUX354" s="27"/>
      <c r="UUY354" s="27"/>
      <c r="UUZ354" s="27"/>
      <c r="UVA354" s="27"/>
      <c r="UVB354" s="27"/>
      <c r="UVC354" s="27"/>
      <c r="UVD354" s="27"/>
      <c r="UVE354" s="27"/>
      <c r="UVF354" s="27"/>
      <c r="UVG354" s="27"/>
      <c r="UVH354" s="27"/>
      <c r="UVI354" s="27"/>
      <c r="UVJ354" s="27"/>
      <c r="UVK354" s="27"/>
      <c r="UVL354" s="27"/>
      <c r="UVM354" s="27"/>
      <c r="UVN354" s="27"/>
      <c r="UVO354" s="27"/>
      <c r="UVP354" s="27"/>
      <c r="UVQ354" s="27"/>
      <c r="UVR354" s="27"/>
      <c r="UVS354" s="27"/>
      <c r="UVT354" s="27"/>
      <c r="UVU354" s="27"/>
      <c r="UVV354" s="27"/>
      <c r="UVW354" s="27"/>
      <c r="UVX354" s="27"/>
      <c r="UVY354" s="27"/>
      <c r="UVZ354" s="27"/>
      <c r="UWA354" s="27"/>
      <c r="UWB354" s="27"/>
      <c r="UWC354" s="27"/>
      <c r="UWD354" s="27"/>
      <c r="UWE354" s="27"/>
      <c r="UWF354" s="27"/>
      <c r="UWG354" s="27"/>
      <c r="UWH354" s="27"/>
      <c r="UWI354" s="27"/>
      <c r="UWJ354" s="27"/>
      <c r="UWK354" s="27"/>
      <c r="UWL354" s="27"/>
      <c r="UWM354" s="27"/>
      <c r="UWN354" s="27"/>
      <c r="UWO354" s="27"/>
      <c r="UWP354" s="27"/>
      <c r="UWQ354" s="27"/>
      <c r="UWR354" s="27"/>
      <c r="UWS354" s="27"/>
      <c r="UWT354" s="27"/>
      <c r="UWU354" s="27"/>
      <c r="UWV354" s="27"/>
      <c r="UWW354" s="27"/>
      <c r="UWX354" s="27"/>
      <c r="UWY354" s="27"/>
      <c r="UWZ354" s="27"/>
      <c r="UXA354" s="27"/>
      <c r="UXB354" s="27"/>
      <c r="UXC354" s="27"/>
      <c r="UXD354" s="27"/>
      <c r="UXE354" s="27"/>
      <c r="UXF354" s="27"/>
      <c r="UXG354" s="27"/>
      <c r="UXH354" s="27"/>
      <c r="UXI354" s="27"/>
      <c r="UXJ354" s="27"/>
      <c r="UXK354" s="27"/>
      <c r="UXL354" s="27"/>
      <c r="UXM354" s="27"/>
      <c r="UXN354" s="27"/>
      <c r="UXO354" s="27"/>
      <c r="UXP354" s="27"/>
      <c r="UXQ354" s="27"/>
      <c r="UXR354" s="27"/>
      <c r="UXS354" s="27"/>
      <c r="UXT354" s="27"/>
      <c r="UXU354" s="27"/>
      <c r="UXV354" s="27"/>
      <c r="UXW354" s="27"/>
      <c r="UXX354" s="27"/>
      <c r="UXY354" s="27"/>
      <c r="UXZ354" s="27"/>
      <c r="UYA354" s="27"/>
      <c r="UYB354" s="27"/>
      <c r="UYC354" s="27"/>
      <c r="UYD354" s="27"/>
      <c r="UYE354" s="27"/>
      <c r="UYF354" s="27"/>
      <c r="UYG354" s="27"/>
      <c r="UYH354" s="27"/>
      <c r="UYI354" s="27"/>
      <c r="UYJ354" s="27"/>
      <c r="UYK354" s="27"/>
      <c r="UYL354" s="27"/>
      <c r="UYM354" s="27"/>
      <c r="UYN354" s="27"/>
      <c r="UYO354" s="27"/>
      <c r="UYP354" s="27"/>
      <c r="UYQ354" s="27"/>
      <c r="UYR354" s="27"/>
      <c r="UYS354" s="27"/>
      <c r="UYT354" s="27"/>
      <c r="UYU354" s="27"/>
      <c r="UYV354" s="27"/>
      <c r="UYW354" s="27"/>
      <c r="UYX354" s="27"/>
      <c r="UYY354" s="27"/>
      <c r="UYZ354" s="27"/>
      <c r="UZA354" s="27"/>
      <c r="UZB354" s="27"/>
      <c r="UZC354" s="27"/>
      <c r="UZD354" s="27"/>
      <c r="UZE354" s="27"/>
      <c r="UZF354" s="27"/>
      <c r="UZG354" s="27"/>
      <c r="UZH354" s="27"/>
      <c r="UZI354" s="27"/>
      <c r="UZJ354" s="27"/>
      <c r="UZK354" s="27"/>
      <c r="UZL354" s="27"/>
      <c r="UZM354" s="27"/>
      <c r="UZN354" s="27"/>
      <c r="UZO354" s="27"/>
      <c r="UZP354" s="27"/>
      <c r="UZQ354" s="27"/>
      <c r="UZR354" s="27"/>
      <c r="UZS354" s="27"/>
      <c r="UZT354" s="27"/>
      <c r="UZU354" s="27"/>
      <c r="UZV354" s="27"/>
      <c r="UZW354" s="27"/>
      <c r="UZX354" s="27"/>
      <c r="UZY354" s="27"/>
      <c r="UZZ354" s="27"/>
      <c r="VAA354" s="27"/>
      <c r="VAB354" s="27"/>
      <c r="VAC354" s="27"/>
      <c r="VAD354" s="27"/>
      <c r="VAE354" s="27"/>
      <c r="VAF354" s="27"/>
      <c r="VAG354" s="27"/>
      <c r="VAH354" s="27"/>
      <c r="VAI354" s="27"/>
      <c r="VAJ354" s="27"/>
      <c r="VAK354" s="27"/>
      <c r="VAL354" s="27"/>
      <c r="VAM354" s="27"/>
      <c r="VAN354" s="27"/>
      <c r="VAO354" s="27"/>
      <c r="VAP354" s="27"/>
      <c r="VAQ354" s="27"/>
      <c r="VAR354" s="27"/>
      <c r="VAS354" s="27"/>
      <c r="VAT354" s="27"/>
      <c r="VAU354" s="27"/>
      <c r="VAV354" s="27"/>
      <c r="VAW354" s="27"/>
      <c r="VAX354" s="27"/>
      <c r="VAY354" s="27"/>
      <c r="VAZ354" s="27"/>
      <c r="VBA354" s="27"/>
      <c r="VBB354" s="27"/>
      <c r="VBC354" s="27"/>
      <c r="VBD354" s="27"/>
      <c r="VBE354" s="27"/>
      <c r="VBF354" s="27"/>
      <c r="VBG354" s="27"/>
      <c r="VBH354" s="27"/>
      <c r="VBI354" s="27"/>
      <c r="VBJ354" s="27"/>
      <c r="VBK354" s="27"/>
      <c r="VBL354" s="27"/>
      <c r="VBM354" s="27"/>
      <c r="VBN354" s="27"/>
      <c r="VBO354" s="27"/>
      <c r="VBP354" s="27"/>
      <c r="VBQ354" s="27"/>
      <c r="VBR354" s="27"/>
      <c r="VBS354" s="27"/>
      <c r="VBT354" s="27"/>
      <c r="VBU354" s="27"/>
      <c r="VBV354" s="27"/>
      <c r="VBW354" s="27"/>
      <c r="VBX354" s="27"/>
      <c r="VBY354" s="27"/>
      <c r="VBZ354" s="27"/>
      <c r="VCA354" s="27"/>
      <c r="VCB354" s="27"/>
      <c r="VCC354" s="27"/>
      <c r="VCD354" s="27"/>
      <c r="VCE354" s="27"/>
      <c r="VCF354" s="27"/>
      <c r="VCG354" s="27"/>
      <c r="VCH354" s="27"/>
      <c r="VCI354" s="27"/>
      <c r="VCJ354" s="27"/>
      <c r="VCK354" s="27"/>
      <c r="VCL354" s="27"/>
      <c r="VCM354" s="27"/>
      <c r="VCN354" s="27"/>
      <c r="VCO354" s="27"/>
      <c r="VCP354" s="27"/>
      <c r="VCQ354" s="27"/>
      <c r="VCR354" s="27"/>
      <c r="VCS354" s="27"/>
      <c r="VCT354" s="27"/>
      <c r="VCU354" s="27"/>
      <c r="VCV354" s="27"/>
      <c r="VCW354" s="27"/>
      <c r="VCX354" s="27"/>
      <c r="VCY354" s="27"/>
      <c r="VCZ354" s="27"/>
      <c r="VDA354" s="27"/>
      <c r="VDB354" s="27"/>
      <c r="VDC354" s="27"/>
      <c r="VDD354" s="27"/>
      <c r="VDE354" s="27"/>
      <c r="VDF354" s="27"/>
      <c r="VDG354" s="27"/>
      <c r="VDH354" s="27"/>
      <c r="VDI354" s="27"/>
      <c r="VDJ354" s="27"/>
      <c r="VDK354" s="27"/>
      <c r="VDL354" s="27"/>
      <c r="VDM354" s="27"/>
      <c r="VDN354" s="27"/>
      <c r="VDO354" s="27"/>
      <c r="VDP354" s="27"/>
      <c r="VDQ354" s="27"/>
      <c r="VDR354" s="27"/>
      <c r="VDS354" s="27"/>
      <c r="VDT354" s="27"/>
      <c r="VDU354" s="27"/>
      <c r="VDV354" s="27"/>
      <c r="VDW354" s="27"/>
      <c r="VDX354" s="27"/>
      <c r="VDY354" s="27"/>
      <c r="VDZ354" s="27"/>
      <c r="VEA354" s="27"/>
      <c r="VEB354" s="27"/>
      <c r="VEC354" s="27"/>
      <c r="VED354" s="27"/>
      <c r="VEE354" s="27"/>
      <c r="VEF354" s="27"/>
      <c r="VEG354" s="27"/>
      <c r="VEH354" s="27"/>
      <c r="VEI354" s="27"/>
      <c r="VEJ354" s="27"/>
      <c r="VEK354" s="27"/>
      <c r="VEL354" s="27"/>
      <c r="VEM354" s="27"/>
      <c r="VEN354" s="27"/>
      <c r="VEO354" s="27"/>
      <c r="VEP354" s="27"/>
      <c r="VEQ354" s="27"/>
      <c r="VER354" s="27"/>
      <c r="VES354" s="27"/>
      <c r="VET354" s="27"/>
      <c r="VEU354" s="27"/>
      <c r="VEV354" s="27"/>
      <c r="VEW354" s="27"/>
      <c r="VEX354" s="27"/>
      <c r="VEY354" s="27"/>
      <c r="VEZ354" s="27"/>
      <c r="VFA354" s="27"/>
      <c r="VFB354" s="27"/>
      <c r="VFC354" s="27"/>
      <c r="VFD354" s="27"/>
      <c r="VFE354" s="27"/>
      <c r="VFF354" s="27"/>
      <c r="VFG354" s="27"/>
      <c r="VFH354" s="27"/>
      <c r="VFI354" s="27"/>
      <c r="VFJ354" s="27"/>
      <c r="VFK354" s="27"/>
      <c r="VFL354" s="27"/>
      <c r="VFM354" s="27"/>
      <c r="VFN354" s="27"/>
      <c r="VFO354" s="27"/>
      <c r="VFP354" s="27"/>
      <c r="VFQ354" s="27"/>
      <c r="VFR354" s="27"/>
      <c r="VFS354" s="27"/>
      <c r="VFT354" s="27"/>
      <c r="VFU354" s="27"/>
      <c r="VFV354" s="27"/>
      <c r="VFW354" s="27"/>
      <c r="VFX354" s="27"/>
      <c r="VFY354" s="27"/>
      <c r="VFZ354" s="27"/>
      <c r="VGA354" s="27"/>
      <c r="VGB354" s="27"/>
      <c r="VGC354" s="27"/>
      <c r="VGD354" s="27"/>
      <c r="VGE354" s="27"/>
      <c r="VGF354" s="27"/>
      <c r="VGG354" s="27"/>
      <c r="VGH354" s="27"/>
      <c r="VGI354" s="27"/>
      <c r="VGJ354" s="27"/>
      <c r="VGK354" s="27"/>
      <c r="VGL354" s="27"/>
      <c r="VGM354" s="27"/>
      <c r="VGN354" s="27"/>
      <c r="VGO354" s="27"/>
      <c r="VGP354" s="27"/>
      <c r="VGQ354" s="27"/>
      <c r="VGR354" s="27"/>
      <c r="VGS354" s="27"/>
      <c r="VGT354" s="27"/>
      <c r="VGU354" s="27"/>
      <c r="VGV354" s="27"/>
      <c r="VGW354" s="27"/>
      <c r="VGX354" s="27"/>
      <c r="VGY354" s="27"/>
      <c r="VGZ354" s="27"/>
      <c r="VHA354" s="27"/>
      <c r="VHB354" s="27"/>
      <c r="VHC354" s="27"/>
      <c r="VHD354" s="27"/>
      <c r="VHE354" s="27"/>
      <c r="VHF354" s="27"/>
      <c r="VHG354" s="27"/>
      <c r="VHH354" s="27"/>
      <c r="VHI354" s="27"/>
      <c r="VHJ354" s="27"/>
      <c r="VHK354" s="27"/>
      <c r="VHL354" s="27"/>
      <c r="VHM354" s="27"/>
      <c r="VHN354" s="27"/>
      <c r="VHO354" s="27"/>
      <c r="VHP354" s="27"/>
      <c r="VHQ354" s="27"/>
      <c r="VHR354" s="27"/>
      <c r="VHS354" s="27"/>
      <c r="VHT354" s="27"/>
      <c r="VHU354" s="27"/>
      <c r="VHV354" s="27"/>
      <c r="VHW354" s="27"/>
      <c r="VHX354" s="27"/>
      <c r="VHY354" s="27"/>
      <c r="VHZ354" s="27"/>
      <c r="VIA354" s="27"/>
      <c r="VIB354" s="27"/>
      <c r="VIC354" s="27"/>
      <c r="VID354" s="27"/>
      <c r="VIE354" s="27"/>
      <c r="VIF354" s="27"/>
      <c r="VIG354" s="27"/>
      <c r="VIH354" s="27"/>
      <c r="VII354" s="27"/>
      <c r="VIJ354" s="27"/>
      <c r="VIK354" s="27"/>
      <c r="VIL354" s="27"/>
      <c r="VIM354" s="27"/>
      <c r="VIN354" s="27"/>
      <c r="VIO354" s="27"/>
      <c r="VIP354" s="27"/>
      <c r="VIQ354" s="27"/>
      <c r="VIR354" s="27"/>
      <c r="VIS354" s="27"/>
      <c r="VIT354" s="27"/>
      <c r="VIU354" s="27"/>
      <c r="VIV354" s="27"/>
      <c r="VIW354" s="27"/>
      <c r="VIX354" s="27"/>
      <c r="VIY354" s="27"/>
      <c r="VIZ354" s="27"/>
      <c r="VJA354" s="27"/>
      <c r="VJB354" s="27"/>
      <c r="VJC354" s="27"/>
      <c r="VJD354" s="27"/>
      <c r="VJE354" s="27"/>
      <c r="VJF354" s="27"/>
      <c r="VJG354" s="27"/>
      <c r="VJH354" s="27"/>
      <c r="VJI354" s="27"/>
      <c r="VJJ354" s="27"/>
      <c r="VJK354" s="27"/>
      <c r="VJL354" s="27"/>
      <c r="VJM354" s="27"/>
      <c r="VJN354" s="27"/>
      <c r="VJO354" s="27"/>
      <c r="VJP354" s="27"/>
      <c r="VJQ354" s="27"/>
      <c r="VJR354" s="27"/>
      <c r="VJS354" s="27"/>
      <c r="VJT354" s="27"/>
      <c r="VJU354" s="27"/>
      <c r="VJV354" s="27"/>
      <c r="VJW354" s="27"/>
      <c r="VJX354" s="27"/>
      <c r="VJY354" s="27"/>
      <c r="VJZ354" s="27"/>
      <c r="VKA354" s="27"/>
      <c r="VKB354" s="27"/>
      <c r="VKC354" s="27"/>
      <c r="VKD354" s="27"/>
      <c r="VKE354" s="27"/>
      <c r="VKF354" s="27"/>
      <c r="VKG354" s="27"/>
      <c r="VKH354" s="27"/>
      <c r="VKI354" s="27"/>
      <c r="VKJ354" s="27"/>
      <c r="VKK354" s="27"/>
      <c r="VKL354" s="27"/>
      <c r="VKM354" s="27"/>
      <c r="VKN354" s="27"/>
      <c r="VKO354" s="27"/>
      <c r="VKP354" s="27"/>
      <c r="VKQ354" s="27"/>
      <c r="VKR354" s="27"/>
      <c r="VKS354" s="27"/>
      <c r="VKT354" s="27"/>
      <c r="VKU354" s="27"/>
      <c r="VKV354" s="27"/>
      <c r="VKW354" s="27"/>
      <c r="VKX354" s="27"/>
      <c r="VKY354" s="27"/>
      <c r="VKZ354" s="27"/>
      <c r="VLA354" s="27"/>
      <c r="VLB354" s="27"/>
      <c r="VLC354" s="27"/>
      <c r="VLD354" s="27"/>
      <c r="VLE354" s="27"/>
      <c r="VLF354" s="27"/>
      <c r="VLG354" s="27"/>
      <c r="VLH354" s="27"/>
      <c r="VLI354" s="27"/>
      <c r="VLJ354" s="27"/>
      <c r="VLK354" s="27"/>
      <c r="VLL354" s="27"/>
      <c r="VLM354" s="27"/>
      <c r="VLN354" s="27"/>
      <c r="VLO354" s="27"/>
      <c r="VLP354" s="27"/>
      <c r="VLQ354" s="27"/>
      <c r="VLR354" s="27"/>
      <c r="VLS354" s="27"/>
      <c r="VLT354" s="27"/>
      <c r="VLU354" s="27"/>
      <c r="VLV354" s="27"/>
      <c r="VLW354" s="27"/>
      <c r="VLX354" s="27"/>
      <c r="VLY354" s="27"/>
      <c r="VLZ354" s="27"/>
      <c r="VMA354" s="27"/>
      <c r="VMB354" s="27"/>
      <c r="VMC354" s="27"/>
      <c r="VMD354" s="27"/>
      <c r="VME354" s="27"/>
      <c r="VMF354" s="27"/>
      <c r="VMG354" s="27"/>
      <c r="VMH354" s="27"/>
      <c r="VMI354" s="27"/>
      <c r="VMJ354" s="27"/>
      <c r="VMK354" s="27"/>
      <c r="VML354" s="27"/>
      <c r="VMM354" s="27"/>
      <c r="VMN354" s="27"/>
      <c r="VMO354" s="27"/>
      <c r="VMP354" s="27"/>
      <c r="VMQ354" s="27"/>
      <c r="VMR354" s="27"/>
      <c r="VMS354" s="27"/>
      <c r="VMT354" s="27"/>
      <c r="VMU354" s="27"/>
      <c r="VMV354" s="27"/>
      <c r="VMW354" s="27"/>
      <c r="VMX354" s="27"/>
      <c r="VMY354" s="27"/>
      <c r="VMZ354" s="27"/>
      <c r="VNA354" s="27"/>
      <c r="VNB354" s="27"/>
      <c r="VNC354" s="27"/>
      <c r="VND354" s="27"/>
      <c r="VNE354" s="27"/>
      <c r="VNF354" s="27"/>
      <c r="VNG354" s="27"/>
      <c r="VNH354" s="27"/>
      <c r="VNI354" s="27"/>
      <c r="VNJ354" s="27"/>
      <c r="VNK354" s="27"/>
      <c r="VNL354" s="27"/>
      <c r="VNM354" s="27"/>
      <c r="VNN354" s="27"/>
      <c r="VNO354" s="27"/>
      <c r="VNP354" s="27"/>
      <c r="VNQ354" s="27"/>
      <c r="VNR354" s="27"/>
      <c r="VNS354" s="27"/>
      <c r="VNT354" s="27"/>
      <c r="VNU354" s="27"/>
      <c r="VNV354" s="27"/>
      <c r="VNW354" s="27"/>
      <c r="VNX354" s="27"/>
      <c r="VNY354" s="27"/>
      <c r="VNZ354" s="27"/>
      <c r="VOA354" s="27"/>
      <c r="VOB354" s="27"/>
      <c r="VOC354" s="27"/>
      <c r="VOD354" s="27"/>
      <c r="VOE354" s="27"/>
      <c r="VOF354" s="27"/>
      <c r="VOG354" s="27"/>
      <c r="VOH354" s="27"/>
      <c r="VOI354" s="27"/>
      <c r="VOJ354" s="27"/>
      <c r="VOK354" s="27"/>
      <c r="VOL354" s="27"/>
      <c r="VOM354" s="27"/>
      <c r="VON354" s="27"/>
      <c r="VOO354" s="27"/>
      <c r="VOP354" s="27"/>
      <c r="VOQ354" s="27"/>
      <c r="VOR354" s="27"/>
      <c r="VOS354" s="27"/>
      <c r="VOT354" s="27"/>
      <c r="VOU354" s="27"/>
      <c r="VOV354" s="27"/>
      <c r="VOW354" s="27"/>
      <c r="VOX354" s="27"/>
      <c r="VOY354" s="27"/>
      <c r="VOZ354" s="27"/>
      <c r="VPA354" s="27"/>
      <c r="VPB354" s="27"/>
      <c r="VPC354" s="27"/>
      <c r="VPD354" s="27"/>
      <c r="VPE354" s="27"/>
      <c r="VPF354" s="27"/>
      <c r="VPG354" s="27"/>
      <c r="VPH354" s="27"/>
      <c r="VPI354" s="27"/>
      <c r="VPJ354" s="27"/>
      <c r="VPK354" s="27"/>
      <c r="VPL354" s="27"/>
      <c r="VPM354" s="27"/>
      <c r="VPN354" s="27"/>
      <c r="VPO354" s="27"/>
      <c r="VPP354" s="27"/>
      <c r="VPQ354" s="27"/>
      <c r="VPR354" s="27"/>
      <c r="VPS354" s="27"/>
      <c r="VPT354" s="27"/>
      <c r="VPU354" s="27"/>
      <c r="VPV354" s="27"/>
      <c r="VPW354" s="27"/>
      <c r="VPX354" s="27"/>
      <c r="VPY354" s="27"/>
      <c r="VPZ354" s="27"/>
      <c r="VQA354" s="27"/>
      <c r="VQB354" s="27"/>
      <c r="VQC354" s="27"/>
      <c r="VQD354" s="27"/>
      <c r="VQE354" s="27"/>
      <c r="VQF354" s="27"/>
      <c r="VQG354" s="27"/>
      <c r="VQH354" s="27"/>
      <c r="VQI354" s="27"/>
      <c r="VQJ354" s="27"/>
      <c r="VQK354" s="27"/>
      <c r="VQL354" s="27"/>
      <c r="VQM354" s="27"/>
      <c r="VQN354" s="27"/>
      <c r="VQO354" s="27"/>
      <c r="VQP354" s="27"/>
      <c r="VQQ354" s="27"/>
      <c r="VQR354" s="27"/>
      <c r="VQS354" s="27"/>
      <c r="VQT354" s="27"/>
      <c r="VQU354" s="27"/>
      <c r="VQV354" s="27"/>
      <c r="VQW354" s="27"/>
      <c r="VQX354" s="27"/>
      <c r="VQY354" s="27"/>
      <c r="VQZ354" s="27"/>
      <c r="VRA354" s="27"/>
      <c r="VRB354" s="27"/>
      <c r="VRC354" s="27"/>
      <c r="VRD354" s="27"/>
      <c r="VRE354" s="27"/>
      <c r="VRF354" s="27"/>
      <c r="VRG354" s="27"/>
      <c r="VRH354" s="27"/>
      <c r="VRI354" s="27"/>
      <c r="VRJ354" s="27"/>
      <c r="VRK354" s="27"/>
      <c r="VRL354" s="27"/>
      <c r="VRM354" s="27"/>
      <c r="VRN354" s="27"/>
      <c r="VRO354" s="27"/>
      <c r="VRP354" s="27"/>
      <c r="VRQ354" s="27"/>
      <c r="VRR354" s="27"/>
      <c r="VRS354" s="27"/>
      <c r="VRT354" s="27"/>
      <c r="VRU354" s="27"/>
      <c r="VRV354" s="27"/>
      <c r="VRW354" s="27"/>
      <c r="VRX354" s="27"/>
      <c r="VRY354" s="27"/>
      <c r="VRZ354" s="27"/>
      <c r="VSA354" s="27"/>
      <c r="VSB354" s="27"/>
      <c r="VSC354" s="27"/>
      <c r="VSD354" s="27"/>
      <c r="VSE354" s="27"/>
      <c r="VSF354" s="27"/>
      <c r="VSG354" s="27"/>
      <c r="VSH354" s="27"/>
      <c r="VSI354" s="27"/>
      <c r="VSJ354" s="27"/>
      <c r="VSK354" s="27"/>
      <c r="VSL354" s="27"/>
      <c r="VSM354" s="27"/>
      <c r="VSN354" s="27"/>
      <c r="VSO354" s="27"/>
      <c r="VSP354" s="27"/>
      <c r="VSQ354" s="27"/>
      <c r="VSR354" s="27"/>
      <c r="VSS354" s="27"/>
      <c r="VST354" s="27"/>
      <c r="VSU354" s="27"/>
      <c r="VSV354" s="27"/>
      <c r="VSW354" s="27"/>
      <c r="VSX354" s="27"/>
      <c r="VSY354" s="27"/>
      <c r="VSZ354" s="27"/>
      <c r="VTA354" s="27"/>
      <c r="VTB354" s="27"/>
      <c r="VTC354" s="27"/>
      <c r="VTD354" s="27"/>
      <c r="VTE354" s="27"/>
      <c r="VTF354" s="27"/>
      <c r="VTG354" s="27"/>
      <c r="VTH354" s="27"/>
      <c r="VTI354" s="27"/>
      <c r="VTJ354" s="27"/>
      <c r="VTK354" s="27"/>
      <c r="VTL354" s="27"/>
      <c r="VTM354" s="27"/>
      <c r="VTN354" s="27"/>
      <c r="VTO354" s="27"/>
      <c r="VTP354" s="27"/>
      <c r="VTQ354" s="27"/>
      <c r="VTR354" s="27"/>
      <c r="VTS354" s="27"/>
      <c r="VTT354" s="27"/>
      <c r="VTU354" s="27"/>
      <c r="VTV354" s="27"/>
      <c r="VTW354" s="27"/>
      <c r="VTX354" s="27"/>
      <c r="VTY354" s="27"/>
      <c r="VTZ354" s="27"/>
      <c r="VUA354" s="27"/>
      <c r="VUB354" s="27"/>
      <c r="VUC354" s="27"/>
      <c r="VUD354" s="27"/>
      <c r="VUE354" s="27"/>
      <c r="VUF354" s="27"/>
      <c r="VUG354" s="27"/>
      <c r="VUH354" s="27"/>
      <c r="VUI354" s="27"/>
      <c r="VUJ354" s="27"/>
      <c r="VUK354" s="27"/>
      <c r="VUL354" s="27"/>
      <c r="VUM354" s="27"/>
      <c r="VUN354" s="27"/>
      <c r="VUO354" s="27"/>
      <c r="VUP354" s="27"/>
      <c r="VUQ354" s="27"/>
      <c r="VUR354" s="27"/>
      <c r="VUS354" s="27"/>
      <c r="VUT354" s="27"/>
      <c r="VUU354" s="27"/>
      <c r="VUV354" s="27"/>
      <c r="VUW354" s="27"/>
      <c r="VUX354" s="27"/>
      <c r="VUY354" s="27"/>
      <c r="VUZ354" s="27"/>
      <c r="VVA354" s="27"/>
      <c r="VVB354" s="27"/>
      <c r="VVC354" s="27"/>
      <c r="VVD354" s="27"/>
      <c r="VVE354" s="27"/>
      <c r="VVF354" s="27"/>
      <c r="VVG354" s="27"/>
      <c r="VVH354" s="27"/>
      <c r="VVI354" s="27"/>
      <c r="VVJ354" s="27"/>
      <c r="VVK354" s="27"/>
      <c r="VVL354" s="27"/>
      <c r="VVM354" s="27"/>
      <c r="VVN354" s="27"/>
      <c r="VVO354" s="27"/>
      <c r="VVP354" s="27"/>
      <c r="VVQ354" s="27"/>
      <c r="VVR354" s="27"/>
      <c r="VVS354" s="27"/>
      <c r="VVT354" s="27"/>
      <c r="VVU354" s="27"/>
      <c r="VVV354" s="27"/>
      <c r="VVW354" s="27"/>
      <c r="VVX354" s="27"/>
      <c r="VVY354" s="27"/>
      <c r="VVZ354" s="27"/>
      <c r="VWA354" s="27"/>
      <c r="VWB354" s="27"/>
      <c r="VWC354" s="27"/>
      <c r="VWD354" s="27"/>
      <c r="VWE354" s="27"/>
      <c r="VWF354" s="27"/>
      <c r="VWG354" s="27"/>
      <c r="VWH354" s="27"/>
      <c r="VWI354" s="27"/>
      <c r="VWJ354" s="27"/>
      <c r="VWK354" s="27"/>
      <c r="VWL354" s="27"/>
      <c r="VWM354" s="27"/>
      <c r="VWN354" s="27"/>
      <c r="VWO354" s="27"/>
      <c r="VWP354" s="27"/>
      <c r="VWQ354" s="27"/>
      <c r="VWR354" s="27"/>
      <c r="VWS354" s="27"/>
      <c r="VWT354" s="27"/>
      <c r="VWU354" s="27"/>
      <c r="VWV354" s="27"/>
      <c r="VWW354" s="27"/>
      <c r="VWX354" s="27"/>
      <c r="VWY354" s="27"/>
      <c r="VWZ354" s="27"/>
      <c r="VXA354" s="27"/>
      <c r="VXB354" s="27"/>
      <c r="VXC354" s="27"/>
      <c r="VXD354" s="27"/>
      <c r="VXE354" s="27"/>
      <c r="VXF354" s="27"/>
      <c r="VXG354" s="27"/>
      <c r="VXH354" s="27"/>
      <c r="VXI354" s="27"/>
      <c r="VXJ354" s="27"/>
      <c r="VXK354" s="27"/>
      <c r="VXL354" s="27"/>
      <c r="VXM354" s="27"/>
      <c r="VXN354" s="27"/>
      <c r="VXO354" s="27"/>
      <c r="VXP354" s="27"/>
      <c r="VXQ354" s="27"/>
      <c r="VXR354" s="27"/>
      <c r="VXS354" s="27"/>
      <c r="VXT354" s="27"/>
      <c r="VXU354" s="27"/>
      <c r="VXV354" s="27"/>
      <c r="VXW354" s="27"/>
      <c r="VXX354" s="27"/>
      <c r="VXY354" s="27"/>
      <c r="VXZ354" s="27"/>
      <c r="VYA354" s="27"/>
      <c r="VYB354" s="27"/>
      <c r="VYC354" s="27"/>
      <c r="VYD354" s="27"/>
      <c r="VYE354" s="27"/>
      <c r="VYF354" s="27"/>
      <c r="VYG354" s="27"/>
      <c r="VYH354" s="27"/>
      <c r="VYI354" s="27"/>
      <c r="VYJ354" s="27"/>
      <c r="VYK354" s="27"/>
      <c r="VYL354" s="27"/>
      <c r="VYM354" s="27"/>
      <c r="VYN354" s="27"/>
      <c r="VYO354" s="27"/>
      <c r="VYP354" s="27"/>
      <c r="VYQ354" s="27"/>
      <c r="VYR354" s="27"/>
      <c r="VYS354" s="27"/>
      <c r="VYT354" s="27"/>
      <c r="VYU354" s="27"/>
      <c r="VYV354" s="27"/>
      <c r="VYW354" s="27"/>
      <c r="VYX354" s="27"/>
      <c r="VYY354" s="27"/>
      <c r="VYZ354" s="27"/>
      <c r="VZA354" s="27"/>
      <c r="VZB354" s="27"/>
      <c r="VZC354" s="27"/>
      <c r="VZD354" s="27"/>
      <c r="VZE354" s="27"/>
      <c r="VZF354" s="27"/>
      <c r="VZG354" s="27"/>
      <c r="VZH354" s="27"/>
      <c r="VZI354" s="27"/>
      <c r="VZJ354" s="27"/>
      <c r="VZK354" s="27"/>
      <c r="VZL354" s="27"/>
      <c r="VZM354" s="27"/>
      <c r="VZN354" s="27"/>
      <c r="VZO354" s="27"/>
      <c r="VZP354" s="27"/>
      <c r="VZQ354" s="27"/>
      <c r="VZR354" s="27"/>
      <c r="VZS354" s="27"/>
      <c r="VZT354" s="27"/>
      <c r="VZU354" s="27"/>
      <c r="VZV354" s="27"/>
      <c r="VZW354" s="27"/>
      <c r="VZX354" s="27"/>
      <c r="VZY354" s="27"/>
      <c r="VZZ354" s="27"/>
      <c r="WAA354" s="27"/>
      <c r="WAB354" s="27"/>
      <c r="WAC354" s="27"/>
      <c r="WAD354" s="27"/>
      <c r="WAE354" s="27"/>
      <c r="WAF354" s="27"/>
      <c r="WAG354" s="27"/>
      <c r="WAH354" s="27"/>
      <c r="WAI354" s="27"/>
      <c r="WAJ354" s="27"/>
      <c r="WAK354" s="27"/>
      <c r="WAL354" s="27"/>
      <c r="WAM354" s="27"/>
      <c r="WAN354" s="27"/>
      <c r="WAO354" s="27"/>
      <c r="WAP354" s="27"/>
      <c r="WAQ354" s="27"/>
      <c r="WAR354" s="27"/>
      <c r="WAS354" s="27"/>
      <c r="WAT354" s="27"/>
      <c r="WAU354" s="27"/>
      <c r="WAV354" s="27"/>
      <c r="WAW354" s="27"/>
      <c r="WAX354" s="27"/>
      <c r="WAY354" s="27"/>
      <c r="WAZ354" s="27"/>
      <c r="WBA354" s="27"/>
      <c r="WBB354" s="27"/>
      <c r="WBC354" s="27"/>
      <c r="WBD354" s="27"/>
      <c r="WBE354" s="27"/>
      <c r="WBF354" s="27"/>
      <c r="WBG354" s="27"/>
      <c r="WBH354" s="27"/>
      <c r="WBI354" s="27"/>
      <c r="WBJ354" s="27"/>
      <c r="WBK354" s="27"/>
      <c r="WBL354" s="27"/>
      <c r="WBM354" s="27"/>
      <c r="WBN354" s="27"/>
      <c r="WBO354" s="27"/>
      <c r="WBP354" s="27"/>
      <c r="WBQ354" s="27"/>
      <c r="WBR354" s="27"/>
      <c r="WBS354" s="27"/>
      <c r="WBT354" s="27"/>
      <c r="WBU354" s="27"/>
      <c r="WBV354" s="27"/>
      <c r="WBW354" s="27"/>
      <c r="WBX354" s="27"/>
      <c r="WBY354" s="27"/>
      <c r="WBZ354" s="27"/>
      <c r="WCA354" s="27"/>
      <c r="WCB354" s="27"/>
      <c r="WCC354" s="27"/>
      <c r="WCD354" s="27"/>
      <c r="WCE354" s="27"/>
      <c r="WCF354" s="27"/>
      <c r="WCG354" s="27"/>
      <c r="WCH354" s="27"/>
      <c r="WCI354" s="27"/>
      <c r="WCJ354" s="27"/>
      <c r="WCK354" s="27"/>
      <c r="WCL354" s="27"/>
      <c r="WCM354" s="27"/>
      <c r="WCN354" s="27"/>
      <c r="WCO354" s="27"/>
      <c r="WCP354" s="27"/>
      <c r="WCQ354" s="27"/>
      <c r="WCR354" s="27"/>
      <c r="WCS354" s="27"/>
      <c r="WCT354" s="27"/>
      <c r="WCU354" s="27"/>
      <c r="WCV354" s="27"/>
      <c r="WCW354" s="27"/>
      <c r="WCX354" s="27"/>
      <c r="WCY354" s="27"/>
      <c r="WCZ354" s="27"/>
      <c r="WDA354" s="27"/>
      <c r="WDB354" s="27"/>
      <c r="WDC354" s="27"/>
      <c r="WDD354" s="27"/>
      <c r="WDE354" s="27"/>
      <c r="WDF354" s="27"/>
      <c r="WDG354" s="27"/>
      <c r="WDH354" s="27"/>
      <c r="WDI354" s="27"/>
      <c r="WDJ354" s="27"/>
      <c r="WDK354" s="27"/>
      <c r="WDL354" s="27"/>
      <c r="WDM354" s="27"/>
      <c r="WDN354" s="27"/>
      <c r="WDO354" s="27"/>
      <c r="WDP354" s="27"/>
      <c r="WDQ354" s="27"/>
      <c r="WDR354" s="27"/>
      <c r="WDS354" s="27"/>
      <c r="WDT354" s="27"/>
      <c r="WDU354" s="27"/>
      <c r="WDV354" s="27"/>
      <c r="WDW354" s="27"/>
      <c r="WDX354" s="27"/>
      <c r="WDY354" s="27"/>
      <c r="WDZ354" s="27"/>
      <c r="WEA354" s="27"/>
      <c r="WEB354" s="27"/>
      <c r="WEC354" s="27"/>
      <c r="WED354" s="27"/>
      <c r="WEE354" s="27"/>
      <c r="WEF354" s="27"/>
      <c r="WEG354" s="27"/>
      <c r="WEH354" s="27"/>
      <c r="WEI354" s="27"/>
      <c r="WEJ354" s="27"/>
      <c r="WEK354" s="27"/>
      <c r="WEL354" s="27"/>
      <c r="WEM354" s="27"/>
      <c r="WEN354" s="27"/>
      <c r="WEO354" s="27"/>
      <c r="WEP354" s="27"/>
      <c r="WEQ354" s="27"/>
      <c r="WER354" s="27"/>
      <c r="WES354" s="27"/>
      <c r="WET354" s="27"/>
      <c r="WEU354" s="27"/>
      <c r="WEV354" s="27"/>
      <c r="WEW354" s="27"/>
      <c r="WEX354" s="27"/>
      <c r="WEY354" s="27"/>
      <c r="WEZ354" s="27"/>
      <c r="WFA354" s="27"/>
      <c r="WFB354" s="27"/>
      <c r="WFC354" s="27"/>
      <c r="WFD354" s="27"/>
      <c r="WFE354" s="27"/>
      <c r="WFF354" s="27"/>
      <c r="WFG354" s="27"/>
      <c r="WFH354" s="27"/>
      <c r="WFI354" s="27"/>
      <c r="WFJ354" s="27"/>
      <c r="WFK354" s="27"/>
      <c r="WFL354" s="27"/>
      <c r="WFM354" s="27"/>
      <c r="WFN354" s="27"/>
      <c r="WFO354" s="27"/>
      <c r="WFP354" s="27"/>
      <c r="WFQ354" s="27"/>
      <c r="WFR354" s="27"/>
      <c r="WFS354" s="27"/>
      <c r="WFT354" s="27"/>
      <c r="WFU354" s="27"/>
      <c r="WFV354" s="27"/>
      <c r="WFW354" s="27"/>
      <c r="WFX354" s="27"/>
      <c r="WFY354" s="27"/>
      <c r="WFZ354" s="27"/>
      <c r="WGA354" s="27"/>
      <c r="WGB354" s="27"/>
      <c r="WGC354" s="27"/>
      <c r="WGD354" s="27"/>
      <c r="WGE354" s="27"/>
      <c r="WGF354" s="27"/>
      <c r="WGG354" s="27"/>
      <c r="WGH354" s="27"/>
      <c r="WGI354" s="27"/>
      <c r="WGJ354" s="27"/>
      <c r="WGK354" s="27"/>
      <c r="WGL354" s="27"/>
      <c r="WGM354" s="27"/>
      <c r="WGN354" s="27"/>
      <c r="WGO354" s="27"/>
      <c r="WGP354" s="27"/>
      <c r="WGQ354" s="27"/>
      <c r="WGR354" s="27"/>
      <c r="WGS354" s="27"/>
      <c r="WGT354" s="27"/>
      <c r="WGU354" s="27"/>
      <c r="WGV354" s="27"/>
      <c r="WGW354" s="27"/>
      <c r="WGX354" s="27"/>
      <c r="WGY354" s="27"/>
      <c r="WGZ354" s="27"/>
      <c r="WHA354" s="27"/>
      <c r="WHB354" s="27"/>
      <c r="WHC354" s="27"/>
      <c r="WHD354" s="27"/>
      <c r="WHE354" s="27"/>
      <c r="WHF354" s="27"/>
      <c r="WHG354" s="27"/>
      <c r="WHH354" s="27"/>
      <c r="WHI354" s="27"/>
      <c r="WHJ354" s="27"/>
      <c r="WHK354" s="27"/>
      <c r="WHL354" s="27"/>
      <c r="WHM354" s="27"/>
      <c r="WHN354" s="27"/>
      <c r="WHO354" s="27"/>
      <c r="WHP354" s="27"/>
      <c r="WHQ354" s="27"/>
      <c r="WHR354" s="27"/>
      <c r="WHS354" s="27"/>
      <c r="WHT354" s="27"/>
      <c r="WHU354" s="27"/>
      <c r="WHV354" s="27"/>
      <c r="WHW354" s="27"/>
      <c r="WHX354" s="27"/>
      <c r="WHY354" s="27"/>
      <c r="WHZ354" s="27"/>
      <c r="WIA354" s="27"/>
      <c r="WIB354" s="27"/>
      <c r="WIC354" s="27"/>
      <c r="WID354" s="27"/>
      <c r="WIE354" s="27"/>
      <c r="WIF354" s="27"/>
      <c r="WIG354" s="27"/>
      <c r="WIH354" s="27"/>
      <c r="WII354" s="27"/>
      <c r="WIJ354" s="27"/>
      <c r="WIK354" s="27"/>
      <c r="WIL354" s="27"/>
      <c r="WIM354" s="27"/>
      <c r="WIN354" s="27"/>
      <c r="WIO354" s="27"/>
      <c r="WIP354" s="27"/>
      <c r="WIQ354" s="27"/>
      <c r="WIR354" s="27"/>
      <c r="WIS354" s="27"/>
      <c r="WIT354" s="27"/>
      <c r="WIU354" s="27"/>
      <c r="WIV354" s="27"/>
      <c r="WIW354" s="27"/>
      <c r="WIX354" s="27"/>
      <c r="WIY354" s="27"/>
      <c r="WIZ354" s="27"/>
      <c r="WJA354" s="27"/>
      <c r="WJB354" s="27"/>
      <c r="WJC354" s="27"/>
      <c r="WJD354" s="27"/>
      <c r="WJE354" s="27"/>
      <c r="WJF354" s="27"/>
      <c r="WJG354" s="27"/>
      <c r="WJH354" s="27"/>
      <c r="WJI354" s="27"/>
      <c r="WJJ354" s="27"/>
      <c r="WJK354" s="27"/>
      <c r="WJL354" s="27"/>
      <c r="WJM354" s="27"/>
      <c r="WJN354" s="27"/>
      <c r="WJO354" s="27"/>
      <c r="WJP354" s="27"/>
      <c r="WJQ354" s="27"/>
      <c r="WJR354" s="27"/>
      <c r="WJS354" s="27"/>
      <c r="WJT354" s="27"/>
      <c r="WJU354" s="27"/>
      <c r="WJV354" s="27"/>
      <c r="WJW354" s="27"/>
      <c r="WJX354" s="27"/>
      <c r="WJY354" s="27"/>
      <c r="WJZ354" s="27"/>
      <c r="WKA354" s="27"/>
      <c r="WKB354" s="27"/>
      <c r="WKC354" s="27"/>
      <c r="WKD354" s="27"/>
      <c r="WKE354" s="27"/>
      <c r="WKF354" s="27"/>
      <c r="WKG354" s="27"/>
      <c r="WKH354" s="27"/>
      <c r="WKI354" s="27"/>
      <c r="WKJ354" s="27"/>
      <c r="WKK354" s="27"/>
      <c r="WKL354" s="27"/>
      <c r="WKM354" s="27"/>
      <c r="WKN354" s="27"/>
      <c r="WKO354" s="27"/>
      <c r="WKP354" s="27"/>
      <c r="WKQ354" s="27"/>
      <c r="WKR354" s="27"/>
      <c r="WKS354" s="27"/>
      <c r="WKT354" s="27"/>
      <c r="WKU354" s="27"/>
      <c r="WKV354" s="27"/>
      <c r="WKW354" s="27"/>
      <c r="WKX354" s="27"/>
      <c r="WKY354" s="27"/>
      <c r="WKZ354" s="27"/>
      <c r="WLA354" s="27"/>
      <c r="WLB354" s="27"/>
      <c r="WLC354" s="27"/>
      <c r="WLD354" s="27"/>
      <c r="WLE354" s="27"/>
      <c r="WLF354" s="27"/>
      <c r="WLG354" s="27"/>
      <c r="WLH354" s="27"/>
      <c r="WLI354" s="27"/>
      <c r="WLJ354" s="27"/>
      <c r="WLK354" s="27"/>
      <c r="WLL354" s="27"/>
      <c r="WLM354" s="27"/>
      <c r="WLN354" s="27"/>
      <c r="WLO354" s="27"/>
      <c r="WLP354" s="27"/>
      <c r="WLQ354" s="27"/>
      <c r="WLR354" s="27"/>
      <c r="WLS354" s="27"/>
      <c r="WLT354" s="27"/>
      <c r="WLU354" s="27"/>
      <c r="WLV354" s="27"/>
      <c r="WLW354" s="27"/>
      <c r="WLX354" s="27"/>
      <c r="WLY354" s="27"/>
      <c r="WLZ354" s="27"/>
      <c r="WMA354" s="27"/>
      <c r="WMB354" s="27"/>
      <c r="WMC354" s="27"/>
      <c r="WMD354" s="27"/>
      <c r="WME354" s="27"/>
      <c r="WMF354" s="27"/>
      <c r="WMG354" s="27"/>
      <c r="WMH354" s="27"/>
      <c r="WMI354" s="27"/>
      <c r="WMJ354" s="27"/>
      <c r="WMK354" s="27"/>
      <c r="WML354" s="27"/>
      <c r="WMM354" s="27"/>
      <c r="WMN354" s="27"/>
      <c r="WMO354" s="27"/>
      <c r="WMP354" s="27"/>
      <c r="WMQ354" s="27"/>
      <c r="WMR354" s="27"/>
      <c r="WMS354" s="27"/>
      <c r="WMT354" s="27"/>
      <c r="WMU354" s="27"/>
      <c r="WMV354" s="27"/>
      <c r="WMW354" s="27"/>
      <c r="WMX354" s="27"/>
      <c r="WMY354" s="27"/>
      <c r="WMZ354" s="27"/>
      <c r="WNA354" s="27"/>
      <c r="WNB354" s="27"/>
      <c r="WNC354" s="27"/>
      <c r="WND354" s="27"/>
      <c r="WNE354" s="27"/>
      <c r="WNF354" s="27"/>
      <c r="WNG354" s="27"/>
      <c r="WNH354" s="27"/>
      <c r="WNI354" s="27"/>
      <c r="WNJ354" s="27"/>
      <c r="WNK354" s="27"/>
      <c r="WNL354" s="27"/>
      <c r="WNM354" s="27"/>
      <c r="WNN354" s="27"/>
      <c r="WNO354" s="27"/>
      <c r="WNP354" s="27"/>
      <c r="WNQ354" s="27"/>
      <c r="WNR354" s="27"/>
      <c r="WNS354" s="27"/>
      <c r="WNT354" s="27"/>
      <c r="WNU354" s="27"/>
      <c r="WNV354" s="27"/>
      <c r="WNW354" s="27"/>
      <c r="WNX354" s="27"/>
      <c r="WNY354" s="27"/>
      <c r="WNZ354" s="27"/>
      <c r="WOA354" s="27"/>
      <c r="WOB354" s="27"/>
      <c r="WOC354" s="27"/>
      <c r="WOD354" s="27"/>
      <c r="WOE354" s="27"/>
      <c r="WOF354" s="27"/>
      <c r="WOG354" s="27"/>
      <c r="WOH354" s="27"/>
      <c r="WOI354" s="27"/>
      <c r="WOJ354" s="27"/>
      <c r="WOK354" s="27"/>
      <c r="WOL354" s="27"/>
      <c r="WOM354" s="27"/>
      <c r="WON354" s="27"/>
      <c r="WOO354" s="27"/>
      <c r="WOP354" s="27"/>
      <c r="WOQ354" s="27"/>
      <c r="WOR354" s="27"/>
      <c r="WOS354" s="27"/>
      <c r="WOT354" s="27"/>
      <c r="WOU354" s="27"/>
      <c r="WOV354" s="27"/>
      <c r="WOW354" s="27"/>
      <c r="WOX354" s="27"/>
      <c r="WOY354" s="27"/>
      <c r="WOZ354" s="27"/>
      <c r="WPA354" s="27"/>
      <c r="WPB354" s="27"/>
      <c r="WPC354" s="27"/>
      <c r="WPD354" s="27"/>
      <c r="WPE354" s="27"/>
      <c r="WPF354" s="27"/>
      <c r="WPG354" s="27"/>
      <c r="WPH354" s="27"/>
      <c r="WPI354" s="27"/>
      <c r="WPJ354" s="27"/>
      <c r="WPK354" s="27"/>
      <c r="WPL354" s="27"/>
      <c r="WPM354" s="27"/>
      <c r="WPN354" s="27"/>
      <c r="WPO354" s="27"/>
      <c r="WPP354" s="27"/>
      <c r="WPQ354" s="27"/>
      <c r="WPR354" s="27"/>
      <c r="WPS354" s="27"/>
      <c r="WPT354" s="27"/>
      <c r="WPU354" s="27"/>
      <c r="WPV354" s="27"/>
      <c r="WPW354" s="27"/>
      <c r="WPX354" s="27"/>
      <c r="WPY354" s="27"/>
      <c r="WPZ354" s="27"/>
      <c r="WQA354" s="27"/>
      <c r="WQB354" s="27"/>
      <c r="WQC354" s="27"/>
      <c r="WQD354" s="27"/>
      <c r="WQE354" s="27"/>
      <c r="WQF354" s="27"/>
      <c r="WQG354" s="27"/>
      <c r="WQH354" s="27"/>
      <c r="WQI354" s="27"/>
      <c r="WQJ354" s="27"/>
      <c r="WQK354" s="27"/>
      <c r="WQL354" s="27"/>
      <c r="WQM354" s="27"/>
      <c r="WQN354" s="27"/>
      <c r="WQO354" s="27"/>
      <c r="WQP354" s="27"/>
      <c r="WQQ354" s="27"/>
      <c r="WQR354" s="27"/>
      <c r="WQS354" s="27"/>
      <c r="WQT354" s="27"/>
      <c r="WQU354" s="27"/>
      <c r="WQV354" s="27"/>
      <c r="WQW354" s="27"/>
      <c r="WQX354" s="27"/>
      <c r="WQY354" s="27"/>
      <c r="WQZ354" s="27"/>
      <c r="WRA354" s="27"/>
      <c r="WRB354" s="27"/>
      <c r="WRC354" s="27"/>
      <c r="WRD354" s="27"/>
      <c r="WRE354" s="27"/>
      <c r="WRF354" s="27"/>
      <c r="WRG354" s="27"/>
      <c r="WRH354" s="27"/>
      <c r="WRI354" s="27"/>
      <c r="WRJ354" s="27"/>
      <c r="WRK354" s="27"/>
      <c r="WRL354" s="27"/>
      <c r="WRM354" s="27"/>
      <c r="WRN354" s="27"/>
      <c r="WRO354" s="27"/>
      <c r="WRP354" s="27"/>
      <c r="WRQ354" s="27"/>
      <c r="WRR354" s="27"/>
      <c r="WRS354" s="27"/>
      <c r="WRT354" s="27"/>
      <c r="WRU354" s="27"/>
      <c r="WRV354" s="27"/>
      <c r="WRW354" s="27"/>
      <c r="WRX354" s="27"/>
      <c r="WRY354" s="27"/>
      <c r="WRZ354" s="27"/>
      <c r="WSA354" s="27"/>
      <c r="WSB354" s="27"/>
      <c r="WSC354" s="27"/>
      <c r="WSD354" s="27"/>
      <c r="WSE354" s="27"/>
      <c r="WSF354" s="27"/>
      <c r="WSG354" s="27"/>
      <c r="WSH354" s="27"/>
      <c r="WSI354" s="27"/>
      <c r="WSJ354" s="27"/>
      <c r="WSK354" s="27"/>
      <c r="WSL354" s="27"/>
      <c r="WSM354" s="27"/>
      <c r="WSN354" s="27"/>
      <c r="WSO354" s="27"/>
      <c r="WSP354" s="27"/>
      <c r="WSQ354" s="27"/>
      <c r="WSR354" s="27"/>
      <c r="WSS354" s="27"/>
      <c r="WST354" s="27"/>
      <c r="WSU354" s="27"/>
      <c r="WSV354" s="27"/>
      <c r="WSW354" s="27"/>
      <c r="WSX354" s="27"/>
      <c r="WSY354" s="27"/>
      <c r="WSZ354" s="27"/>
      <c r="WTA354" s="27"/>
      <c r="WTB354" s="27"/>
      <c r="WTC354" s="27"/>
      <c r="WTD354" s="27"/>
      <c r="WTE354" s="27"/>
      <c r="WTF354" s="27"/>
      <c r="WTG354" s="27"/>
      <c r="WTH354" s="27"/>
      <c r="WTI354" s="27"/>
      <c r="WTJ354" s="27"/>
      <c r="WTK354" s="27"/>
      <c r="WTL354" s="27"/>
      <c r="WTM354" s="27"/>
      <c r="WTN354" s="27"/>
      <c r="WTO354" s="27"/>
      <c r="WTP354" s="27"/>
      <c r="WTQ354" s="27"/>
      <c r="WTR354" s="27"/>
      <c r="WTS354" s="27"/>
      <c r="WTT354" s="27"/>
      <c r="WTU354" s="27"/>
      <c r="WTV354" s="27"/>
      <c r="WTW354" s="27"/>
      <c r="WTX354" s="27"/>
      <c r="WTY354" s="27"/>
      <c r="WTZ354" s="27"/>
      <c r="WUA354" s="27"/>
      <c r="WUB354" s="27"/>
      <c r="WUC354" s="27"/>
      <c r="WUD354" s="27"/>
      <c r="WUE354" s="27"/>
      <c r="WUF354" s="27"/>
      <c r="WUG354" s="27"/>
      <c r="WUH354" s="27"/>
      <c r="WUI354" s="27"/>
      <c r="WUJ354" s="27"/>
      <c r="WUK354" s="27"/>
      <c r="WUL354" s="27"/>
      <c r="WUM354" s="27"/>
      <c r="WUN354" s="27"/>
      <c r="WUO354" s="27"/>
      <c r="WUP354" s="27"/>
      <c r="WUQ354" s="27"/>
      <c r="WUR354" s="27"/>
      <c r="WUS354" s="27"/>
      <c r="WUT354" s="27"/>
      <c r="WUU354" s="27"/>
      <c r="WUV354" s="27"/>
      <c r="WUW354" s="27"/>
      <c r="WUX354" s="27"/>
      <c r="WUY354" s="27"/>
      <c r="WUZ354" s="27"/>
      <c r="WVA354" s="27"/>
      <c r="WVB354" s="27"/>
      <c r="WVC354" s="27"/>
      <c r="WVD354" s="27"/>
      <c r="WVE354" s="27"/>
      <c r="WVF354" s="27"/>
      <c r="WVG354" s="27"/>
      <c r="WVH354" s="27"/>
      <c r="WVI354" s="27"/>
      <c r="WVJ354" s="27"/>
      <c r="WVK354" s="27"/>
      <c r="WVL354" s="27"/>
      <c r="WVM354" s="27"/>
      <c r="WVN354" s="27"/>
      <c r="WVO354" s="27"/>
      <c r="WVP354" s="27"/>
      <c r="WVQ354" s="27"/>
      <c r="WVR354" s="27"/>
      <c r="WVS354" s="27"/>
      <c r="WVT354" s="27"/>
      <c r="WVU354" s="27"/>
      <c r="WVV354" s="27"/>
      <c r="WVW354" s="27"/>
      <c r="WVX354" s="27"/>
      <c r="WVY354" s="27"/>
      <c r="WVZ354" s="27"/>
      <c r="WWA354" s="27"/>
      <c r="WWB354" s="27"/>
      <c r="WWC354" s="27"/>
      <c r="WWD354" s="27"/>
      <c r="WWE354" s="27"/>
      <c r="WWF354" s="27"/>
      <c r="WWG354" s="27"/>
      <c r="WWH354" s="27"/>
      <c r="WWI354" s="27"/>
      <c r="WWJ354" s="27"/>
      <c r="WWK354" s="27"/>
      <c r="WWL354" s="27"/>
      <c r="WWM354" s="27"/>
      <c r="WWN354" s="27"/>
      <c r="WWO354" s="27"/>
      <c r="WWP354" s="27"/>
      <c r="WWQ354" s="27"/>
      <c r="WWR354" s="27"/>
      <c r="WWS354" s="27"/>
      <c r="WWT354" s="27"/>
      <c r="WWU354" s="27"/>
      <c r="WWV354" s="27"/>
      <c r="WWW354" s="27"/>
      <c r="WWX354" s="27"/>
      <c r="WWY354" s="27"/>
      <c r="WWZ354" s="27"/>
      <c r="WXA354" s="27"/>
      <c r="WXB354" s="27"/>
      <c r="WXC354" s="27"/>
      <c r="WXD354" s="27"/>
      <c r="WXE354" s="27"/>
      <c r="WXF354" s="27"/>
      <c r="WXG354" s="27"/>
      <c r="WXH354" s="27"/>
      <c r="WXI354" s="27"/>
      <c r="WXJ354" s="27"/>
      <c r="WXK354" s="27"/>
      <c r="WXL354" s="27"/>
      <c r="WXM354" s="27"/>
      <c r="WXN354" s="27"/>
      <c r="WXO354" s="27"/>
      <c r="WXP354" s="27"/>
      <c r="WXQ354" s="27"/>
      <c r="WXR354" s="27"/>
      <c r="WXS354" s="27"/>
      <c r="WXT354" s="27"/>
      <c r="WXU354" s="27"/>
      <c r="WXV354" s="27"/>
      <c r="WXW354" s="27"/>
      <c r="WXX354" s="27"/>
      <c r="WXY354" s="27"/>
      <c r="WXZ354" s="27"/>
      <c r="WYA354" s="27"/>
      <c r="WYB354" s="27"/>
      <c r="WYC354" s="27"/>
      <c r="WYD354" s="27"/>
      <c r="WYE354" s="27"/>
      <c r="WYF354" s="27"/>
      <c r="WYG354" s="27"/>
      <c r="WYH354" s="27"/>
      <c r="WYI354" s="27"/>
      <c r="WYJ354" s="27"/>
      <c r="WYK354" s="27"/>
      <c r="WYL354" s="27"/>
      <c r="WYM354" s="27"/>
      <c r="WYN354" s="27"/>
      <c r="WYO354" s="27"/>
      <c r="WYP354" s="27"/>
      <c r="WYQ354" s="27"/>
      <c r="WYR354" s="27"/>
      <c r="WYS354" s="27"/>
      <c r="WYT354" s="27"/>
      <c r="WYU354" s="27"/>
      <c r="WYV354" s="27"/>
      <c r="WYW354" s="27"/>
      <c r="WYX354" s="27"/>
      <c r="WYY354" s="27"/>
      <c r="WYZ354" s="27"/>
      <c r="WZA354" s="27"/>
      <c r="WZB354" s="27"/>
      <c r="WZC354" s="27"/>
      <c r="WZD354" s="27"/>
      <c r="WZE354" s="27"/>
      <c r="WZF354" s="27"/>
      <c r="WZG354" s="27"/>
      <c r="WZH354" s="27"/>
      <c r="WZI354" s="27"/>
      <c r="WZJ354" s="27"/>
      <c r="WZK354" s="27"/>
      <c r="WZL354" s="27"/>
      <c r="WZM354" s="27"/>
      <c r="WZN354" s="27"/>
      <c r="WZO354" s="27"/>
      <c r="WZP354" s="27"/>
      <c r="WZQ354" s="27"/>
      <c r="WZR354" s="27"/>
      <c r="WZS354" s="27"/>
      <c r="WZT354" s="27"/>
      <c r="WZU354" s="27"/>
      <c r="WZV354" s="27"/>
      <c r="WZW354" s="27"/>
      <c r="WZX354" s="27"/>
      <c r="WZY354" s="27"/>
      <c r="WZZ354" s="27"/>
      <c r="XAA354" s="27"/>
      <c r="XAB354" s="27"/>
      <c r="XAC354" s="27"/>
      <c r="XAD354" s="27"/>
      <c r="XAE354" s="27"/>
      <c r="XAF354" s="27"/>
      <c r="XAG354" s="27"/>
      <c r="XAH354" s="27"/>
      <c r="XAI354" s="27"/>
      <c r="XAJ354" s="27"/>
      <c r="XAK354" s="27"/>
      <c r="XAL354" s="27"/>
      <c r="XAM354" s="27"/>
      <c r="XAN354" s="27"/>
      <c r="XAO354" s="27"/>
      <c r="XAP354" s="27"/>
      <c r="XAQ354" s="27"/>
      <c r="XAR354" s="27"/>
      <c r="XAS354" s="27"/>
      <c r="XAT354" s="27"/>
      <c r="XAU354" s="27"/>
      <c r="XAV354" s="27"/>
      <c r="XAW354" s="27"/>
      <c r="XAX354" s="27"/>
      <c r="XAY354" s="27"/>
      <c r="XAZ354" s="27"/>
      <c r="XBA354" s="27"/>
      <c r="XBB354" s="27"/>
      <c r="XBC354" s="27"/>
      <c r="XBD354" s="27"/>
      <c r="XBE354" s="27"/>
      <c r="XBF354" s="27"/>
      <c r="XBG354" s="27"/>
      <c r="XBH354" s="27"/>
      <c r="XBI354" s="27"/>
      <c r="XBJ354" s="27"/>
      <c r="XBK354" s="27"/>
      <c r="XBL354" s="27"/>
      <c r="XBM354" s="27"/>
      <c r="XBN354" s="27"/>
      <c r="XBO354" s="27"/>
      <c r="XBP354" s="27"/>
      <c r="XBQ354" s="27"/>
      <c r="XBR354" s="27"/>
      <c r="XBS354" s="27"/>
      <c r="XBT354" s="27"/>
      <c r="XBU354" s="27"/>
      <c r="XBV354" s="27"/>
      <c r="XBW354" s="27"/>
      <c r="XBX354" s="27"/>
      <c r="XBY354" s="27"/>
      <c r="XBZ354" s="27"/>
      <c r="XCA354" s="27"/>
      <c r="XCB354" s="27"/>
      <c r="XCC354" s="27"/>
      <c r="XCD354" s="27"/>
      <c r="XCE354" s="27"/>
      <c r="XCF354" s="27"/>
      <c r="XCG354" s="27"/>
      <c r="XCH354" s="27"/>
      <c r="XCI354" s="27"/>
      <c r="XCJ354" s="27"/>
      <c r="XCK354" s="27"/>
      <c r="XCL354" s="27"/>
      <c r="XCM354" s="27"/>
      <c r="XCN354" s="27"/>
      <c r="XCO354" s="27"/>
      <c r="XCP354" s="27"/>
      <c r="XCQ354" s="27"/>
      <c r="XCR354" s="27"/>
      <c r="XCS354" s="27"/>
      <c r="XCT354" s="27"/>
      <c r="XCU354" s="27"/>
      <c r="XCV354" s="27"/>
      <c r="XCW354" s="27"/>
      <c r="XCX354" s="27"/>
      <c r="XCY354" s="27"/>
      <c r="XCZ354" s="27"/>
      <c r="XDA354" s="27"/>
      <c r="XDB354" s="27"/>
      <c r="XDC354" s="27"/>
      <c r="XDD354" s="27"/>
      <c r="XDE354" s="27"/>
      <c r="XDF354" s="27"/>
      <c r="XDG354" s="27"/>
      <c r="XDH354" s="27"/>
      <c r="XDI354" s="27"/>
      <c r="XDJ354" s="27"/>
      <c r="XDK354" s="27"/>
      <c r="XDL354" s="27"/>
      <c r="XDM354" s="27"/>
      <c r="XDN354" s="27"/>
      <c r="XDO354" s="27"/>
      <c r="XDP354" s="27"/>
      <c r="XDQ354" s="27"/>
      <c r="XDR354" s="27"/>
      <c r="XDS354" s="27"/>
      <c r="XDT354" s="27"/>
      <c r="XDU354" s="27"/>
      <c r="XDV354" s="27"/>
      <c r="XDW354" s="27"/>
      <c r="XDX354" s="27"/>
      <c r="XDY354" s="27"/>
      <c r="XDZ354" s="27"/>
      <c r="XEA354" s="27"/>
      <c r="XEB354" s="27"/>
      <c r="XEC354" s="27"/>
      <c r="XED354" s="27"/>
      <c r="XEE354" s="27"/>
      <c r="XEF354" s="27"/>
      <c r="XEG354" s="27"/>
      <c r="XEH354" s="27"/>
      <c r="XEI354" s="27"/>
      <c r="XEJ354" s="27"/>
      <c r="XEK354" s="27"/>
      <c r="XEL354" s="27"/>
      <c r="XEM354" s="27"/>
      <c r="XEN354" s="27"/>
      <c r="XEO354" s="27"/>
      <c r="XEP354" s="27"/>
      <c r="XEQ354" s="27"/>
      <c r="XER354" s="27"/>
      <c r="XES354" s="27"/>
      <c r="XET354" s="27"/>
      <c r="XEU354" s="27"/>
      <c r="XEV354" s="27"/>
      <c r="XEW354" s="27"/>
      <c r="XEX354" s="27"/>
      <c r="XEY354" s="27"/>
      <c r="XEZ354" s="27"/>
      <c r="XFA354" s="27"/>
      <c r="XFB354" s="27"/>
      <c r="XFC354" s="27"/>
    </row>
    <row r="359" spans="1:16383" ht="16.5" customHeight="1">
      <c r="B359" s="132" t="s">
        <v>40</v>
      </c>
      <c r="C359" s="134"/>
      <c r="D359" s="131">
        <v>170</v>
      </c>
      <c r="E359" s="13"/>
    </row>
    <row r="360" spans="1:16383" ht="16.5" customHeight="1">
      <c r="B360" s="132" t="s">
        <v>41</v>
      </c>
      <c r="C360" s="134"/>
      <c r="D360" s="131">
        <v>98</v>
      </c>
      <c r="E360" s="13"/>
      <c r="F360"/>
      <c r="G360"/>
      <c r="H360"/>
      <c r="I360"/>
      <c r="J360"/>
    </row>
    <row r="361" spans="1:16383" ht="16.5" customHeight="1">
      <c r="B361" s="132" t="s">
        <v>42</v>
      </c>
      <c r="C361" s="134"/>
      <c r="D361" s="131">
        <v>36</v>
      </c>
      <c r="E361" s="13"/>
      <c r="F361" s="175" t="s">
        <v>98</v>
      </c>
      <c r="G361" s="175"/>
      <c r="H361" s="175"/>
      <c r="I361" s="175"/>
      <c r="J361" s="175"/>
    </row>
    <row r="362" spans="1:16383" ht="16.5" customHeight="1">
      <c r="B362" s="132" t="s">
        <v>43</v>
      </c>
      <c r="C362" s="134"/>
      <c r="D362" s="131">
        <v>35</v>
      </c>
      <c r="E362" s="13"/>
      <c r="F362"/>
      <c r="G362"/>
      <c r="H362"/>
      <c r="I362"/>
      <c r="J362"/>
    </row>
    <row r="363" spans="1:16383" ht="16.5" customHeight="1">
      <c r="B363" s="132" t="s">
        <v>772</v>
      </c>
      <c r="C363" s="134"/>
      <c r="D363" s="131">
        <v>7</v>
      </c>
      <c r="E363" s="13"/>
      <c r="F363"/>
      <c r="G363"/>
      <c r="H363"/>
      <c r="I363"/>
      <c r="J363"/>
    </row>
    <row r="364" spans="1:16383" ht="16.5" customHeight="1">
      <c r="B364" s="132" t="s">
        <v>495</v>
      </c>
      <c r="C364" s="134"/>
      <c r="D364" s="131">
        <v>3</v>
      </c>
      <c r="E364" s="13"/>
      <c r="F364"/>
      <c r="G364"/>
      <c r="H364"/>
      <c r="I364"/>
      <c r="J364"/>
    </row>
    <row r="365" spans="1:16383" ht="16.5" customHeight="1">
      <c r="B365" s="132" t="s">
        <v>0</v>
      </c>
      <c r="C365" s="134"/>
      <c r="D365" s="15">
        <f>SUM(D359:D364)</f>
        <v>349</v>
      </c>
      <c r="E365" s="13"/>
      <c r="F365"/>
      <c r="G365"/>
      <c r="H365"/>
      <c r="I365"/>
      <c r="J365"/>
    </row>
  </sheetData>
  <sortState ref="B4:O263">
    <sortCondition ref="B4"/>
  </sortState>
  <mergeCells count="7">
    <mergeCell ref="J2:J3"/>
    <mergeCell ref="F361:J361"/>
    <mergeCell ref="A1:K1"/>
    <mergeCell ref="A2:A3"/>
    <mergeCell ref="B2:B3"/>
    <mergeCell ref="D2:I2"/>
    <mergeCell ref="K2:K3"/>
  </mergeCells>
  <pageMargins left="0.39370078740157483" right="0.19685039370078741" top="0.19685039370078741" bottom="0.19685039370078741" header="0.15748031496062992" footer="0.1574803149606299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ABSTRACT</vt:lpstr>
      <vt:lpstr>GOVT.HOSPITALS</vt:lpstr>
      <vt:lpstr>Jewargi</vt:lpstr>
      <vt:lpstr>Sedam</vt:lpstr>
      <vt:lpstr>Chittapur</vt:lpstr>
      <vt:lpstr>Kalaburagi</vt:lpstr>
      <vt:lpstr>Kalaburagi!_Hlk187854711</vt:lpstr>
      <vt:lpstr>ABSTRACT!Print_Area</vt:lpstr>
      <vt:lpstr>Chittapur!Print_Titles</vt:lpstr>
      <vt:lpstr>GOVT.HOSPITALS!Print_Titles</vt:lpstr>
      <vt:lpstr>Jewargi!Print_Titles</vt:lpstr>
      <vt:lpstr>Kalaburagi!Print_Titles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2026-07-06T13:10:14Z</cp:lastPrinted>
  <dcterms:created xsi:type="dcterms:W3CDTF">2019-11-18T10:47:40Z</dcterms:created>
  <dcterms:modified xsi:type="dcterms:W3CDTF">2026-07-06T13:19:39Z</dcterms:modified>
</cp:coreProperties>
</file>